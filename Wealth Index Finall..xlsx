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4AB221EA-A3A2-4F47-973E-7DD943AC8EE0}" xr6:coauthVersionLast="47" xr6:coauthVersionMax="47" xr10:uidLastSave="{00000000-0000-0000-0000-000000000000}"/>
  <bookViews>
    <workbookView xWindow="240" yWindow="105" windowWidth="19095" windowHeight="8445" firstSheet="1" activeTab="6" xr2:uid="{00000000-000D-0000-FFFF-FFFF00000000}"/>
  </bookViews>
  <sheets>
    <sheet name="Sheet1" sheetId="1" r:id="rId1"/>
    <sheet name="Sheet2" sheetId="2" r:id="rId2"/>
    <sheet name="Sheet3" sheetId="3" r:id="rId3"/>
    <sheet name="calculation" sheetId="4" r:id="rId4"/>
    <sheet name="variable transformation" sheetId="5" r:id="rId5"/>
    <sheet name="Final data" sheetId="6" r:id="rId6"/>
    <sheet name="ranking 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L2" i="4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2" i="5"/>
  <c r="C36" i="5"/>
  <c r="D36" i="5"/>
  <c r="E36" i="5"/>
  <c r="F36" i="5"/>
  <c r="G36" i="5"/>
  <c r="H36" i="5"/>
  <c r="B36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4" i="2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4" i="1"/>
  <c r="AA38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4" i="1"/>
</calcChain>
</file>

<file path=xl/sharedStrings.xml><?xml version="1.0" encoding="utf-8"?>
<sst xmlns="http://schemas.openxmlformats.org/spreadsheetml/2006/main" count="446" uniqueCount="186">
  <si>
    <t>2024-25</t>
  </si>
  <si>
    <t>2023-24</t>
  </si>
  <si>
    <t>2022-23</t>
  </si>
  <si>
    <t>Yellow</t>
  </si>
  <si>
    <t>Saffron</t>
  </si>
  <si>
    <t>District</t>
  </si>
  <si>
    <t>BPL</t>
  </si>
  <si>
    <t>AAY cards</t>
  </si>
  <si>
    <t>PHH</t>
  </si>
  <si>
    <t>PHH Farmers</t>
  </si>
  <si>
    <t>NPH</t>
  </si>
  <si>
    <t>Annapurna</t>
  </si>
  <si>
    <t>White</t>
  </si>
  <si>
    <t>Total</t>
  </si>
  <si>
    <t>Yellow Ration Card</t>
  </si>
  <si>
    <t>Saffron Ration Card</t>
  </si>
  <si>
    <t>white Ration Card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</si>
  <si>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</si>
  <si>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</si>
  <si>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</si>
  <si>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</si>
  <si>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</si>
  <si>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</si>
  <si>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</si>
  <si>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</si>
  <si>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</si>
  <si>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</si>
  <si>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</si>
  <si>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</si>
  <si>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</si>
  <si>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</si>
  <si>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</si>
  <si>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</si>
  <si>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</si>
  <si>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</si>
  <si>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</si>
  <si>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</si>
  <si>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</si>
  <si>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</si>
  <si>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</si>
  <si>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</si>
  <si>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</si>
  <si>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</si>
  <si>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</si>
  <si>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</si>
  <si>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</si>
  <si>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</si>
  <si>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</si>
  <si>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</si>
  <si>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</si>
  <si>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</si>
  <si>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</si>
  <si>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Agricultural and allied activities</t>
  </si>
  <si>
    <t>sr.no</t>
  </si>
  <si>
    <t>total credit</t>
  </si>
  <si>
    <t>Of which, crop loan</t>
  </si>
  <si>
    <t>NFS</t>
  </si>
  <si>
    <t>OPS</t>
  </si>
  <si>
    <t>TOTAL</t>
  </si>
  <si>
    <t>NPS</t>
  </si>
  <si>
    <t>Total plan</t>
  </si>
  <si>
    <t>Priority Sector credit pian per capita</t>
  </si>
  <si>
    <t>Mumbai City</t>
  </si>
  <si>
    <t>Sr.No.</t>
  </si>
  <si>
    <t>2024-25 (Cr.)</t>
  </si>
  <si>
    <t>2023-24  (Cr.)</t>
  </si>
  <si>
    <t>2023-22  (Cr.)</t>
  </si>
  <si>
    <t>2021-22  (Cr.)</t>
  </si>
  <si>
    <t>2022-23  (Cr.)</t>
  </si>
  <si>
    <t>2024-25  (Cr.)</t>
  </si>
  <si>
    <t>2021-22</t>
  </si>
  <si>
    <t xml:space="preserve">deposit </t>
  </si>
  <si>
    <t>credit</t>
  </si>
  <si>
    <t>Real GDDP</t>
  </si>
  <si>
    <t>Per Capita Nominal NDDP</t>
  </si>
  <si>
    <t>Total Accounts Opened</t>
  </si>
  <si>
    <t>No. of RuPay Cards Issued</t>
  </si>
  <si>
    <t>No. of Zero Balance Accounts</t>
  </si>
  <si>
    <t>Total Deposit (Cr.)</t>
  </si>
  <si>
    <t>Total Deposit in Accounts ( Cr.)</t>
  </si>
  <si>
    <t>Total Accounts opened</t>
  </si>
  <si>
    <t>Total Deposit in Accounts (Cr.)</t>
  </si>
  <si>
    <t>Per capita nominal NDDP</t>
  </si>
  <si>
    <t>Credit - Deposit ratio</t>
  </si>
  <si>
    <t>Total Deposit</t>
  </si>
  <si>
    <t>No.of accounts opened</t>
  </si>
  <si>
    <t>Zero - balance accounts %</t>
  </si>
  <si>
    <t>AHILYANAGAR</t>
  </si>
  <si>
    <t>1,96,609</t>
  </si>
  <si>
    <t>AKOLA</t>
  </si>
  <si>
    <t>1,59,454</t>
  </si>
  <si>
    <t>AMRAVATI</t>
  </si>
  <si>
    <t>1,49,092</t>
  </si>
  <si>
    <t>1,33,035</t>
  </si>
  <si>
    <t>BHANDARA</t>
  </si>
  <si>
    <t>1,46,337</t>
  </si>
  <si>
    <t>BULDHANA</t>
  </si>
  <si>
    <t>1,24,469</t>
  </si>
  <si>
    <t>CHANDRAPUR</t>
  </si>
  <si>
    <t>1,76,064</t>
  </si>
  <si>
    <t>CHHATRAPATI SAMBHAJINAGAR</t>
  </si>
  <si>
    <t>1,83,446</t>
  </si>
  <si>
    <t>DHARASHIV</t>
  </si>
  <si>
    <t>1,57,751</t>
  </si>
  <si>
    <t>DHULE</t>
  </si>
  <si>
    <t>1,54,484</t>
  </si>
  <si>
    <t>GADCHIROLI</t>
  </si>
  <si>
    <t>1,07,725</t>
  </si>
  <si>
    <t>GONDIA</t>
  </si>
  <si>
    <t>1,38,764</t>
  </si>
  <si>
    <t>HINGOLI</t>
  </si>
  <si>
    <t>1,22,288</t>
  </si>
  <si>
    <t>JALGAON</t>
  </si>
  <si>
    <t>1,43,622</t>
  </si>
  <si>
    <t>JALNA</t>
  </si>
  <si>
    <t>1,45,440</t>
  </si>
  <si>
    <t>KOLHAPUR</t>
  </si>
  <si>
    <t>2,22,636</t>
  </si>
  <si>
    <t>LATUR</t>
  </si>
  <si>
    <t>1,60,569</t>
  </si>
  <si>
    <t>MUMBAI</t>
  </si>
  <si>
    <t>4,04,328</t>
  </si>
  <si>
    <t>3,54,389</t>
  </si>
  <si>
    <t>4,53,693</t>
  </si>
  <si>
    <t>4,97,328</t>
  </si>
  <si>
    <t>5,32,701</t>
  </si>
  <si>
    <t>NAGPUR</t>
  </si>
  <si>
    <t>1,02,995</t>
  </si>
  <si>
    <t>2,53,264</t>
  </si>
  <si>
    <t>1,14,948</t>
  </si>
  <si>
    <t>1,25,807</t>
  </si>
  <si>
    <t>1,34,326</t>
  </si>
  <si>
    <t>NANDED</t>
  </si>
  <si>
    <t>1,37,554</t>
  </si>
  <si>
    <t>NANDURBAR</t>
  </si>
  <si>
    <t>1,04,599</t>
  </si>
  <si>
    <t>NASIK</t>
  </si>
  <si>
    <t>1,02,798</t>
  </si>
  <si>
    <t>2,00,882</t>
  </si>
  <si>
    <t>1,14,238</t>
  </si>
  <si>
    <t>1,21,652</t>
  </si>
  <si>
    <t>1,33,978</t>
  </si>
  <si>
    <t>PALGHAR</t>
  </si>
  <si>
    <t>PARBHANI</t>
  </si>
  <si>
    <t>1,35,757</t>
  </si>
  <si>
    <t>PUNE</t>
  </si>
  <si>
    <t>2,38,107</t>
  </si>
  <si>
    <t>2,92,903</t>
  </si>
  <si>
    <t>2,63,954</t>
  </si>
  <si>
    <t>2,89,613</t>
  </si>
  <si>
    <t>3,09,556</t>
  </si>
  <si>
    <t>RAIGAD</t>
  </si>
  <si>
    <t>2,46,524</t>
  </si>
  <si>
    <t>RATNAGIRI</t>
  </si>
  <si>
    <t>1,96,879</t>
  </si>
  <si>
    <t>SANGLI</t>
  </si>
  <si>
    <t>2,07,382</t>
  </si>
  <si>
    <t>SATARA</t>
  </si>
  <si>
    <t>1,92,724</t>
  </si>
  <si>
    <t>SINDHUDURG</t>
  </si>
  <si>
    <t>2,27,360</t>
  </si>
  <si>
    <t>SOLAPUR</t>
  </si>
  <si>
    <t>2,02,494</t>
  </si>
  <si>
    <t>THANE</t>
  </si>
  <si>
    <t>2,97,618</t>
  </si>
  <si>
    <t>3,02,685</t>
  </si>
  <si>
    <t>3,33,418</t>
  </si>
  <si>
    <t>3,65,298</t>
  </si>
  <si>
    <t>3,91,522</t>
  </si>
  <si>
    <t>WARDHA</t>
  </si>
  <si>
    <t>1,85,159</t>
  </si>
  <si>
    <t>WASHIM</t>
  </si>
  <si>
    <t>1,16,236</t>
  </si>
  <si>
    <t>YAVATMAL</t>
  </si>
  <si>
    <t>1,27,267</t>
  </si>
  <si>
    <t>Priority Sector credit plan per capita</t>
  </si>
  <si>
    <t>Yellow ration card %</t>
  </si>
  <si>
    <t>white ration card %</t>
  </si>
  <si>
    <t>Average deposit per PMJDY account</t>
  </si>
  <si>
    <t>ln(white ration card %)</t>
  </si>
  <si>
    <t>ln(Priority Sector credit pian per capita)</t>
  </si>
  <si>
    <t>ln(Per capita nominal NDDP)</t>
  </si>
  <si>
    <t>Skewness</t>
  </si>
  <si>
    <t>ln(Priority Sector credit plan per capita)</t>
  </si>
  <si>
    <t>wealth_score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</si>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</sst>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 vertical="center"/>
    </xf>
    <xf numFmtId="0" fontId="1" fillId="0" borderId="0" xfId="0" applyFont="1" applyFill="1" applyAlignment="1"/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opLeftCell="M23" zoomScale="110" zoomScaleNormal="110" workbookViewId="0">
      <selection activeCell="AA3" sqref="AA3:AC38"/>
    </sheetView>
  </sheetViews>
  <sheetFormatPr defaultRowHeight="15" x14ac:dyDescent="0.2"/>
  <sheetData>
    <row r="1" spans="1:32" s="1" customFormat="1" x14ac:dyDescent="0.2">
      <c r="B1" s="23" t="s">
        <v>0</v>
      </c>
      <c r="C1" s="23"/>
      <c r="D1" s="23"/>
      <c r="E1" s="23"/>
      <c r="F1" s="23"/>
      <c r="G1" s="23"/>
      <c r="H1" s="23"/>
      <c r="I1" s="23"/>
      <c r="J1" s="23" t="s">
        <v>1</v>
      </c>
      <c r="K1" s="23"/>
      <c r="L1" s="23"/>
      <c r="M1" s="23"/>
      <c r="N1" s="23"/>
      <c r="O1" s="23"/>
      <c r="P1" s="23"/>
      <c r="Q1" s="23"/>
      <c r="R1" s="23" t="s">
        <v>2</v>
      </c>
      <c r="S1" s="23"/>
      <c r="T1" s="23"/>
      <c r="U1" s="23"/>
      <c r="V1" s="23"/>
      <c r="W1" s="23"/>
      <c r="X1" s="23"/>
      <c r="Y1" s="23"/>
    </row>
    <row r="2" spans="1:32" s="1" customFormat="1" x14ac:dyDescent="0.2">
      <c r="B2" s="23" t="s">
        <v>3</v>
      </c>
      <c r="C2" s="23"/>
      <c r="D2" s="23" t="s">
        <v>4</v>
      </c>
      <c r="E2" s="23"/>
      <c r="F2" s="23"/>
      <c r="G2" s="5"/>
      <c r="H2" s="5"/>
      <c r="I2" s="5"/>
      <c r="J2" s="23" t="s">
        <v>3</v>
      </c>
      <c r="K2" s="23"/>
      <c r="L2" s="23" t="s">
        <v>4</v>
      </c>
      <c r="M2" s="23"/>
      <c r="N2" s="23"/>
      <c r="O2" s="5"/>
      <c r="P2" s="5"/>
      <c r="Q2" s="5"/>
      <c r="R2" s="23" t="s">
        <v>3</v>
      </c>
      <c r="S2" s="23"/>
      <c r="T2" s="23" t="s">
        <v>4</v>
      </c>
      <c r="U2" s="23"/>
      <c r="V2" s="23"/>
      <c r="W2" s="5"/>
      <c r="X2" s="5"/>
      <c r="Y2" s="5"/>
    </row>
    <row r="3" spans="1:32" s="1" customFormat="1" ht="41.25" x14ac:dyDescent="0.2">
      <c r="A3" s="3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7"/>
      <c r="AA3" s="6" t="s">
        <v>14</v>
      </c>
      <c r="AB3" s="6" t="s">
        <v>15</v>
      </c>
      <c r="AC3" s="6" t="s">
        <v>16</v>
      </c>
      <c r="AD3" s="6"/>
      <c r="AE3" s="6"/>
      <c r="AF3" s="6"/>
    </row>
    <row r="4" spans="1:32" s="1" customFormat="1" x14ac:dyDescent="0.2">
      <c r="A4" s="1" t="s">
        <v>17</v>
      </c>
      <c r="B4" s="4">
        <v>216133</v>
      </c>
      <c r="C4" s="4">
        <v>87141</v>
      </c>
      <c r="D4" s="4">
        <v>420874</v>
      </c>
      <c r="E4" s="4">
        <v>0</v>
      </c>
      <c r="F4" s="4">
        <v>282505</v>
      </c>
      <c r="G4" s="4">
        <v>0</v>
      </c>
      <c r="H4" s="4">
        <v>47417</v>
      </c>
      <c r="I4" s="4">
        <v>1054070</v>
      </c>
      <c r="J4" s="4">
        <v>254466</v>
      </c>
      <c r="K4" s="4">
        <v>88090</v>
      </c>
      <c r="L4" s="4">
        <v>363249</v>
      </c>
      <c r="M4" s="4">
        <v>0</v>
      </c>
      <c r="N4" s="4">
        <v>358229</v>
      </c>
      <c r="O4" s="4">
        <v>0</v>
      </c>
      <c r="P4" s="4">
        <v>58418</v>
      </c>
      <c r="Q4" s="4">
        <v>1122452</v>
      </c>
      <c r="R4" s="4">
        <v>254452</v>
      </c>
      <c r="S4" s="4">
        <v>87857</v>
      </c>
      <c r="T4" s="4">
        <v>348586</v>
      </c>
      <c r="U4" s="4">
        <v>0</v>
      </c>
      <c r="V4" s="4">
        <v>313285</v>
      </c>
      <c r="W4" s="4">
        <v>0</v>
      </c>
      <c r="X4" s="4">
        <v>58811</v>
      </c>
      <c r="Y4" s="4">
        <v>1062991</v>
      </c>
      <c r="Z4" s="9"/>
      <c r="AA4" s="8">
        <f>AVERAGE(B4:C4,J4:K4,R4:S4)</f>
        <v>164689.83333333334</v>
      </c>
      <c r="AB4" s="8">
        <f>AVERAGE(D4:F4,L4:N4,T4:V4)</f>
        <v>231858.66666666666</v>
      </c>
      <c r="AC4" s="8">
        <f>AVERAGE(H4,P4,X4)</f>
        <v>54882</v>
      </c>
      <c r="AD4" s="8"/>
      <c r="AE4" s="8"/>
      <c r="AF4" s="8"/>
    </row>
    <row r="5" spans="1:32" s="1" customFormat="1" x14ac:dyDescent="0.2">
      <c r="A5" s="1" t="s">
        <v>18</v>
      </c>
      <c r="B5" s="4">
        <v>45456</v>
      </c>
      <c r="C5" s="4">
        <v>39338</v>
      </c>
      <c r="D5" s="4">
        <v>241552</v>
      </c>
      <c r="E5" s="4">
        <v>26302</v>
      </c>
      <c r="F5" s="4">
        <v>73031</v>
      </c>
      <c r="G5" s="4">
        <v>0</v>
      </c>
      <c r="H5" s="4">
        <v>14930</v>
      </c>
      <c r="I5" s="4">
        <v>440609</v>
      </c>
      <c r="J5" s="4">
        <v>65073</v>
      </c>
      <c r="K5" s="4">
        <v>45578</v>
      </c>
      <c r="L5" s="4">
        <v>184734</v>
      </c>
      <c r="M5" s="4">
        <v>46575</v>
      </c>
      <c r="N5" s="4">
        <v>103752</v>
      </c>
      <c r="O5" s="4">
        <v>0</v>
      </c>
      <c r="P5" s="4">
        <v>25466</v>
      </c>
      <c r="Q5" s="4">
        <v>471178</v>
      </c>
      <c r="R5" s="4">
        <v>65083</v>
      </c>
      <c r="S5" s="4">
        <v>45701</v>
      </c>
      <c r="T5" s="4">
        <v>159452</v>
      </c>
      <c r="U5" s="4">
        <v>49916</v>
      </c>
      <c r="V5" s="4">
        <v>117035</v>
      </c>
      <c r="W5" s="4">
        <v>0</v>
      </c>
      <c r="X5" s="4">
        <v>23385</v>
      </c>
      <c r="Y5" s="4">
        <v>460572</v>
      </c>
      <c r="Z5" s="9"/>
      <c r="AA5" s="8">
        <f t="shared" ref="AA5:AA38" si="0">AVERAGE(B5:C5,J5:K5,R5:S5)</f>
        <v>51038.166666666664</v>
      </c>
      <c r="AB5" s="8">
        <f t="shared" ref="AB5:AB38" si="1">AVERAGE(D5:F5,L5:N5,T5:V5)</f>
        <v>111372.11111111111</v>
      </c>
      <c r="AC5" s="8">
        <f t="shared" ref="AC5:AC38" si="2">AVERAGE(H5,P5,X5)</f>
        <v>21260.333333333332</v>
      </c>
      <c r="AD5" s="8"/>
      <c r="AE5" s="8"/>
      <c r="AF5" s="8"/>
    </row>
    <row r="6" spans="1:32" s="1" customFormat="1" x14ac:dyDescent="0.2">
      <c r="A6" s="1" t="s">
        <v>19</v>
      </c>
      <c r="B6" s="4">
        <v>128204</v>
      </c>
      <c r="C6" s="4">
        <v>43706</v>
      </c>
      <c r="D6" s="4">
        <v>331268</v>
      </c>
      <c r="E6" s="4">
        <v>73840</v>
      </c>
      <c r="F6" s="4">
        <v>58683</v>
      </c>
      <c r="G6" s="4">
        <v>0</v>
      </c>
      <c r="H6" s="4">
        <v>15006</v>
      </c>
      <c r="I6" s="4">
        <v>650707</v>
      </c>
      <c r="J6" s="4">
        <v>172497</v>
      </c>
      <c r="K6" s="4">
        <v>127603</v>
      </c>
      <c r="L6" s="4">
        <v>131700</v>
      </c>
      <c r="M6" s="4">
        <v>120462</v>
      </c>
      <c r="N6" s="4">
        <v>142737</v>
      </c>
      <c r="O6" s="4">
        <v>0</v>
      </c>
      <c r="P6" s="4">
        <v>27513</v>
      </c>
      <c r="Q6" s="4">
        <v>722512</v>
      </c>
      <c r="R6" s="4">
        <v>172592</v>
      </c>
      <c r="S6" s="4">
        <v>122526</v>
      </c>
      <c r="T6" s="4">
        <v>125862</v>
      </c>
      <c r="U6" s="4">
        <v>125841</v>
      </c>
      <c r="V6" s="4">
        <v>139388</v>
      </c>
      <c r="W6" s="4">
        <v>0</v>
      </c>
      <c r="X6" s="4">
        <v>26833</v>
      </c>
      <c r="Y6" s="4">
        <v>713042</v>
      </c>
      <c r="Z6" s="9"/>
      <c r="AA6" s="8">
        <f t="shared" si="0"/>
        <v>127854.66666666667</v>
      </c>
      <c r="AB6" s="8">
        <f t="shared" si="1"/>
        <v>138864.55555555556</v>
      </c>
      <c r="AC6" s="8">
        <f t="shared" si="2"/>
        <v>23117.333333333332</v>
      </c>
      <c r="AD6" s="8"/>
      <c r="AE6" s="8"/>
      <c r="AF6" s="8"/>
    </row>
    <row r="7" spans="1:32" s="1" customFormat="1" x14ac:dyDescent="0.2">
      <c r="A7" s="1" t="s">
        <v>20</v>
      </c>
      <c r="B7" s="4">
        <v>230112</v>
      </c>
      <c r="C7" s="4">
        <v>38963</v>
      </c>
      <c r="D7" s="4">
        <v>127905</v>
      </c>
      <c r="E7" s="4">
        <v>120316</v>
      </c>
      <c r="F7" s="4">
        <v>44066</v>
      </c>
      <c r="G7" s="4">
        <v>0</v>
      </c>
      <c r="H7" s="4">
        <v>6486</v>
      </c>
      <c r="I7" s="4">
        <v>567848</v>
      </c>
      <c r="J7" s="4">
        <v>52750</v>
      </c>
      <c r="K7" s="4">
        <v>38914</v>
      </c>
      <c r="L7" s="4">
        <v>57663</v>
      </c>
      <c r="M7" s="4">
        <v>44245</v>
      </c>
      <c r="N7" s="4">
        <v>27104</v>
      </c>
      <c r="O7" s="4">
        <v>0</v>
      </c>
      <c r="P7" s="4">
        <v>3606</v>
      </c>
      <c r="Q7" s="4">
        <v>224282</v>
      </c>
      <c r="R7" s="4">
        <v>52667</v>
      </c>
      <c r="S7" s="4">
        <v>11251</v>
      </c>
      <c r="T7" s="4">
        <v>53808</v>
      </c>
      <c r="U7" s="4">
        <v>44742</v>
      </c>
      <c r="V7" s="4">
        <v>25155</v>
      </c>
      <c r="W7" s="4">
        <v>0</v>
      </c>
      <c r="X7" s="4">
        <v>3259</v>
      </c>
      <c r="Y7" s="4">
        <v>190882</v>
      </c>
      <c r="Z7" s="9"/>
      <c r="AA7" s="8">
        <f t="shared" si="0"/>
        <v>70776.166666666672</v>
      </c>
      <c r="AB7" s="8">
        <f t="shared" si="1"/>
        <v>60556</v>
      </c>
      <c r="AC7" s="8">
        <f t="shared" si="2"/>
        <v>4450.333333333333</v>
      </c>
      <c r="AD7" s="8"/>
      <c r="AE7" s="8"/>
      <c r="AF7" s="8"/>
    </row>
    <row r="8" spans="1:32" s="1" customFormat="1" x14ac:dyDescent="0.2">
      <c r="A8" s="1" t="s">
        <v>21</v>
      </c>
      <c r="B8" s="4">
        <v>75685</v>
      </c>
      <c r="C8" s="4">
        <v>66396</v>
      </c>
      <c r="D8" s="4">
        <v>102812</v>
      </c>
      <c r="E8" s="4">
        <v>0</v>
      </c>
      <c r="F8" s="4">
        <v>32906</v>
      </c>
      <c r="G8" s="4">
        <v>0</v>
      </c>
      <c r="H8" s="4">
        <v>15818</v>
      </c>
      <c r="I8" s="4">
        <v>293617</v>
      </c>
      <c r="J8" s="4">
        <v>75814</v>
      </c>
      <c r="K8" s="4">
        <v>66154</v>
      </c>
      <c r="L8" s="4">
        <v>99282</v>
      </c>
      <c r="M8" s="4">
        <v>0</v>
      </c>
      <c r="N8" s="4">
        <v>34746</v>
      </c>
      <c r="O8" s="4">
        <v>0</v>
      </c>
      <c r="P8" s="4">
        <v>15870</v>
      </c>
      <c r="Q8" s="4">
        <v>291866</v>
      </c>
      <c r="R8" s="4">
        <v>76083</v>
      </c>
      <c r="S8" s="4">
        <v>65345</v>
      </c>
      <c r="T8" s="4">
        <v>86068</v>
      </c>
      <c r="U8" s="4">
        <v>0</v>
      </c>
      <c r="V8" s="4">
        <v>45166</v>
      </c>
      <c r="W8" s="4">
        <v>0</v>
      </c>
      <c r="X8" s="4">
        <v>15622</v>
      </c>
      <c r="Y8" s="4">
        <v>288284</v>
      </c>
      <c r="Z8" s="9"/>
      <c r="AA8" s="8">
        <f t="shared" si="0"/>
        <v>70912.833333333328</v>
      </c>
      <c r="AB8" s="8">
        <f t="shared" si="1"/>
        <v>44553.333333333336</v>
      </c>
      <c r="AC8" s="8">
        <f t="shared" si="2"/>
        <v>15770</v>
      </c>
      <c r="AD8" s="8"/>
      <c r="AE8" s="8"/>
      <c r="AF8" s="8"/>
    </row>
    <row r="9" spans="1:32" s="1" customFormat="1" x14ac:dyDescent="0.2">
      <c r="A9" s="1" t="s">
        <v>22</v>
      </c>
      <c r="B9" s="4">
        <v>64602</v>
      </c>
      <c r="C9" s="4">
        <v>126925</v>
      </c>
      <c r="D9" s="4">
        <v>214451</v>
      </c>
      <c r="E9" s="4">
        <v>81429</v>
      </c>
      <c r="F9" s="4">
        <v>96834</v>
      </c>
      <c r="G9" s="4">
        <v>0</v>
      </c>
      <c r="H9" s="4">
        <v>23000</v>
      </c>
      <c r="I9" s="4">
        <v>607241</v>
      </c>
      <c r="J9" s="4">
        <v>154533</v>
      </c>
      <c r="K9" s="4">
        <v>63596</v>
      </c>
      <c r="L9" s="4">
        <v>185972</v>
      </c>
      <c r="M9" s="4">
        <v>87097</v>
      </c>
      <c r="N9" s="4">
        <v>106846</v>
      </c>
      <c r="O9" s="4">
        <v>0</v>
      </c>
      <c r="P9" s="4">
        <v>23235</v>
      </c>
      <c r="Q9" s="4">
        <v>621279</v>
      </c>
      <c r="R9" s="4">
        <v>64759</v>
      </c>
      <c r="S9" s="4">
        <v>154104</v>
      </c>
      <c r="T9" s="4">
        <v>184643</v>
      </c>
      <c r="U9" s="4">
        <v>87168</v>
      </c>
      <c r="V9" s="4">
        <v>95718</v>
      </c>
      <c r="W9" s="4">
        <v>0</v>
      </c>
      <c r="X9" s="4">
        <v>22133</v>
      </c>
      <c r="Y9" s="4">
        <v>608525</v>
      </c>
      <c r="Z9" s="9"/>
      <c r="AA9" s="8">
        <f t="shared" si="0"/>
        <v>104753.16666666667</v>
      </c>
      <c r="AB9" s="8">
        <f t="shared" si="1"/>
        <v>126684.22222222222</v>
      </c>
      <c r="AC9" s="8">
        <f t="shared" si="2"/>
        <v>22789.333333333332</v>
      </c>
      <c r="AD9" s="8"/>
      <c r="AE9" s="8"/>
      <c r="AF9" s="8"/>
    </row>
    <row r="10" spans="1:32" s="1" customFormat="1" x14ac:dyDescent="0.2">
      <c r="A10" s="1" t="s">
        <v>23</v>
      </c>
      <c r="B10" s="4">
        <v>0</v>
      </c>
      <c r="C10" s="4">
        <v>142965</v>
      </c>
      <c r="D10" s="4">
        <v>293425</v>
      </c>
      <c r="E10" s="4">
        <v>0</v>
      </c>
      <c r="F10" s="4">
        <v>54050</v>
      </c>
      <c r="G10" s="4">
        <v>0</v>
      </c>
      <c r="H10" s="4">
        <v>26177</v>
      </c>
      <c r="I10" s="4">
        <v>516617</v>
      </c>
      <c r="J10" s="4">
        <v>0</v>
      </c>
      <c r="K10" s="4">
        <v>141703</v>
      </c>
      <c r="L10" s="4">
        <v>258192</v>
      </c>
      <c r="M10" s="4">
        <v>0</v>
      </c>
      <c r="N10" s="4">
        <v>84604</v>
      </c>
      <c r="O10" s="4">
        <v>0</v>
      </c>
      <c r="P10" s="4">
        <v>23627</v>
      </c>
      <c r="Q10" s="4">
        <v>508126</v>
      </c>
      <c r="R10" s="4">
        <v>0</v>
      </c>
      <c r="S10" s="4">
        <v>137489</v>
      </c>
      <c r="T10" s="4">
        <v>256120</v>
      </c>
      <c r="U10" s="4">
        <v>0</v>
      </c>
      <c r="V10" s="4">
        <v>77801</v>
      </c>
      <c r="W10" s="4">
        <v>0</v>
      </c>
      <c r="X10" s="4">
        <v>23034</v>
      </c>
      <c r="Y10" s="4">
        <v>494444</v>
      </c>
      <c r="Z10" s="9"/>
      <c r="AA10" s="8">
        <f t="shared" si="0"/>
        <v>70359.5</v>
      </c>
      <c r="AB10" s="8">
        <f t="shared" si="1"/>
        <v>113799.11111111111</v>
      </c>
      <c r="AC10" s="8">
        <f t="shared" si="2"/>
        <v>24279.333333333332</v>
      </c>
      <c r="AD10" s="8"/>
      <c r="AE10" s="8"/>
      <c r="AF10" s="8"/>
    </row>
    <row r="11" spans="1:32" s="1" customFormat="1" x14ac:dyDescent="0.2">
      <c r="A11" s="1" t="s">
        <v>24</v>
      </c>
      <c r="B11" s="4">
        <v>123058</v>
      </c>
      <c r="C11" s="4">
        <v>66265</v>
      </c>
      <c r="D11" s="4">
        <v>355445</v>
      </c>
      <c r="E11" s="4">
        <v>56731</v>
      </c>
      <c r="F11" s="4">
        <v>237101</v>
      </c>
      <c r="G11" s="4">
        <v>0</v>
      </c>
      <c r="H11" s="4">
        <v>7728</v>
      </c>
      <c r="I11" s="4">
        <v>846328</v>
      </c>
      <c r="J11" s="4">
        <v>165563</v>
      </c>
      <c r="K11" s="4">
        <v>66537</v>
      </c>
      <c r="L11" s="4">
        <v>233757</v>
      </c>
      <c r="M11" s="4">
        <v>84057</v>
      </c>
      <c r="N11" s="4">
        <v>261380</v>
      </c>
      <c r="O11" s="4">
        <v>0</v>
      </c>
      <c r="P11" s="4">
        <v>12914</v>
      </c>
      <c r="Q11" s="4">
        <v>824208</v>
      </c>
      <c r="R11" s="4">
        <v>165563</v>
      </c>
      <c r="S11" s="4">
        <v>68877</v>
      </c>
      <c r="T11" s="4">
        <v>230609</v>
      </c>
      <c r="U11" s="4">
        <v>83466</v>
      </c>
      <c r="V11" s="4">
        <v>254112</v>
      </c>
      <c r="W11" s="4">
        <v>311</v>
      </c>
      <c r="X11" s="4">
        <v>12557</v>
      </c>
      <c r="Y11" s="4">
        <v>815495</v>
      </c>
      <c r="Z11" s="9"/>
      <c r="AA11" s="8">
        <f t="shared" si="0"/>
        <v>109310.5</v>
      </c>
      <c r="AB11" s="8">
        <f t="shared" si="1"/>
        <v>199628.66666666666</v>
      </c>
      <c r="AC11" s="8">
        <f t="shared" si="2"/>
        <v>11066.333333333334</v>
      </c>
      <c r="AD11" s="8"/>
      <c r="AE11" s="8"/>
      <c r="AF11" s="8"/>
    </row>
    <row r="12" spans="1:32" s="1" customFormat="1" x14ac:dyDescent="0.2">
      <c r="A12" s="1" t="s">
        <v>25</v>
      </c>
      <c r="B12" s="4">
        <v>104384</v>
      </c>
      <c r="C12" s="4">
        <v>39211</v>
      </c>
      <c r="D12" s="4">
        <v>115424</v>
      </c>
      <c r="E12" s="4">
        <v>51596</v>
      </c>
      <c r="F12" s="4">
        <v>29394</v>
      </c>
      <c r="G12" s="4">
        <v>0</v>
      </c>
      <c r="H12" s="4">
        <v>10467</v>
      </c>
      <c r="I12" s="4">
        <v>350476</v>
      </c>
      <c r="J12" s="4">
        <v>106556</v>
      </c>
      <c r="K12" s="4">
        <v>38642</v>
      </c>
      <c r="L12" s="4">
        <v>100887</v>
      </c>
      <c r="M12" s="4">
        <v>69125</v>
      </c>
      <c r="N12" s="4">
        <v>52894</v>
      </c>
      <c r="O12" s="4">
        <v>0</v>
      </c>
      <c r="P12" s="4">
        <v>12086</v>
      </c>
      <c r="Q12" s="4">
        <v>380190</v>
      </c>
      <c r="R12" s="4">
        <v>106548</v>
      </c>
      <c r="S12" s="4">
        <v>38946</v>
      </c>
      <c r="T12" s="4">
        <v>99650</v>
      </c>
      <c r="U12" s="4">
        <v>69193</v>
      </c>
      <c r="V12" s="4">
        <v>50217</v>
      </c>
      <c r="W12" s="4">
        <v>0</v>
      </c>
      <c r="X12" s="4">
        <v>11969</v>
      </c>
      <c r="Y12" s="4">
        <v>376523</v>
      </c>
      <c r="Z12" s="9"/>
      <c r="AA12" s="8">
        <f t="shared" si="0"/>
        <v>72381.166666666672</v>
      </c>
      <c r="AB12" s="8">
        <f t="shared" si="1"/>
        <v>70931.111111111109</v>
      </c>
      <c r="AC12" s="8">
        <f t="shared" si="2"/>
        <v>11507.333333333334</v>
      </c>
      <c r="AD12" s="8"/>
      <c r="AE12" s="8"/>
      <c r="AF12" s="8"/>
    </row>
    <row r="13" spans="1:32" s="1" customFormat="1" x14ac:dyDescent="0.2">
      <c r="A13" s="1" t="s">
        <v>26</v>
      </c>
      <c r="B13" s="4">
        <v>124119</v>
      </c>
      <c r="C13" s="4">
        <v>75451</v>
      </c>
      <c r="D13" s="4">
        <v>122254</v>
      </c>
      <c r="E13" s="4">
        <v>0</v>
      </c>
      <c r="F13" s="4">
        <v>196894</v>
      </c>
      <c r="G13" s="4">
        <v>0</v>
      </c>
      <c r="H13" s="4">
        <v>17751</v>
      </c>
      <c r="I13" s="4">
        <v>536469</v>
      </c>
      <c r="J13" s="4">
        <v>142855</v>
      </c>
      <c r="K13" s="4">
        <v>75806</v>
      </c>
      <c r="L13" s="4">
        <v>89977</v>
      </c>
      <c r="M13" s="4">
        <v>0</v>
      </c>
      <c r="N13" s="4">
        <v>199746</v>
      </c>
      <c r="O13" s="4">
        <v>0</v>
      </c>
      <c r="P13" s="4">
        <v>17951</v>
      </c>
      <c r="Q13" s="4">
        <v>526335</v>
      </c>
      <c r="R13" s="4">
        <v>142813</v>
      </c>
      <c r="S13" s="4">
        <v>76972</v>
      </c>
      <c r="T13" s="4">
        <v>73958</v>
      </c>
      <c r="U13" s="4">
        <v>0</v>
      </c>
      <c r="V13" s="4">
        <v>135511</v>
      </c>
      <c r="W13" s="4">
        <v>0</v>
      </c>
      <c r="X13" s="4">
        <v>17811</v>
      </c>
      <c r="Y13" s="4">
        <v>447065</v>
      </c>
      <c r="Z13" s="9"/>
      <c r="AA13" s="8">
        <f t="shared" si="0"/>
        <v>106336</v>
      </c>
      <c r="AB13" s="8">
        <f t="shared" si="1"/>
        <v>90926.666666666672</v>
      </c>
      <c r="AC13" s="8">
        <f t="shared" si="2"/>
        <v>17837.666666666668</v>
      </c>
      <c r="AD13" s="8"/>
      <c r="AE13" s="8"/>
      <c r="AF13" s="8"/>
    </row>
    <row r="14" spans="1:32" s="1" customFormat="1" x14ac:dyDescent="0.2">
      <c r="A14" s="1" t="s">
        <v>27</v>
      </c>
      <c r="B14" s="4">
        <v>24909</v>
      </c>
      <c r="C14" s="4">
        <v>101437</v>
      </c>
      <c r="D14" s="4">
        <v>97310</v>
      </c>
      <c r="E14" s="4">
        <v>0</v>
      </c>
      <c r="F14" s="4">
        <v>21253</v>
      </c>
      <c r="G14" s="4">
        <v>0</v>
      </c>
      <c r="H14" s="4">
        <v>8417</v>
      </c>
      <c r="I14" s="4">
        <v>253326</v>
      </c>
      <c r="J14" s="4">
        <v>27254</v>
      </c>
      <c r="K14" s="4">
        <v>101950</v>
      </c>
      <c r="L14" s="4">
        <v>96604</v>
      </c>
      <c r="M14" s="4">
        <v>0</v>
      </c>
      <c r="N14" s="4">
        <v>31989</v>
      </c>
      <c r="O14" s="4">
        <v>0</v>
      </c>
      <c r="P14" s="4">
        <v>6830</v>
      </c>
      <c r="Q14" s="4">
        <v>264627</v>
      </c>
      <c r="R14" s="4">
        <v>27084</v>
      </c>
      <c r="S14" s="4">
        <v>103989</v>
      </c>
      <c r="T14" s="4">
        <v>90938</v>
      </c>
      <c r="U14" s="4">
        <v>0</v>
      </c>
      <c r="V14" s="4">
        <v>32471</v>
      </c>
      <c r="W14" s="4">
        <v>0</v>
      </c>
      <c r="X14" s="4">
        <v>6499</v>
      </c>
      <c r="Y14" s="4">
        <v>260981</v>
      </c>
      <c r="Z14" s="9"/>
      <c r="AA14" s="8">
        <f t="shared" si="0"/>
        <v>64437.166666666664</v>
      </c>
      <c r="AB14" s="8">
        <f t="shared" si="1"/>
        <v>41173.888888888891</v>
      </c>
      <c r="AC14" s="8">
        <f t="shared" si="2"/>
        <v>7248.666666666667</v>
      </c>
      <c r="AD14" s="8"/>
      <c r="AE14" s="8"/>
      <c r="AF14" s="8"/>
    </row>
    <row r="15" spans="1:32" s="1" customFormat="1" x14ac:dyDescent="0.2">
      <c r="A15" s="1" t="s">
        <v>28</v>
      </c>
      <c r="B15" s="4">
        <v>81716</v>
      </c>
      <c r="C15" s="4">
        <v>81266</v>
      </c>
      <c r="D15" s="4">
        <v>100632</v>
      </c>
      <c r="E15" s="4">
        <v>0</v>
      </c>
      <c r="F15" s="4">
        <v>67609</v>
      </c>
      <c r="G15" s="4">
        <v>0</v>
      </c>
      <c r="H15" s="4">
        <v>6553</v>
      </c>
      <c r="I15" s="4">
        <v>337776</v>
      </c>
      <c r="J15" s="4">
        <v>81858</v>
      </c>
      <c r="K15" s="4">
        <v>81732</v>
      </c>
      <c r="L15" s="4">
        <v>51028</v>
      </c>
      <c r="M15" s="4">
        <v>0</v>
      </c>
      <c r="N15" s="4">
        <v>66862</v>
      </c>
      <c r="O15" s="4">
        <v>0</v>
      </c>
      <c r="P15" s="4">
        <v>6480</v>
      </c>
      <c r="Q15" s="4">
        <v>287960</v>
      </c>
      <c r="R15" s="4">
        <v>64970</v>
      </c>
      <c r="S15" s="4">
        <v>78769</v>
      </c>
      <c r="T15" s="4">
        <v>56505</v>
      </c>
      <c r="U15" s="4">
        <v>0</v>
      </c>
      <c r="V15" s="4">
        <v>80893</v>
      </c>
      <c r="W15" s="4">
        <v>0</v>
      </c>
      <c r="X15" s="4">
        <v>6793</v>
      </c>
      <c r="Y15" s="4">
        <v>287930</v>
      </c>
      <c r="Z15" s="9"/>
      <c r="AA15" s="8">
        <f t="shared" si="0"/>
        <v>78385.166666666672</v>
      </c>
      <c r="AB15" s="8">
        <f t="shared" si="1"/>
        <v>47058.777777777781</v>
      </c>
      <c r="AC15" s="8">
        <f t="shared" si="2"/>
        <v>6608.666666666667</v>
      </c>
      <c r="AD15" s="8"/>
      <c r="AE15" s="8"/>
      <c r="AF15" s="8"/>
    </row>
    <row r="16" spans="1:32" s="1" customFormat="1" x14ac:dyDescent="0.2">
      <c r="A16" s="1" t="s">
        <v>29</v>
      </c>
      <c r="B16" s="4">
        <v>15260</v>
      </c>
      <c r="C16" s="4">
        <v>29955</v>
      </c>
      <c r="D16" s="4">
        <v>144174</v>
      </c>
      <c r="E16" s="4">
        <v>37332</v>
      </c>
      <c r="F16" s="4">
        <v>23805</v>
      </c>
      <c r="G16" s="4">
        <v>0</v>
      </c>
      <c r="H16" s="4">
        <v>3182</v>
      </c>
      <c r="I16" s="4">
        <v>253708</v>
      </c>
      <c r="J16" s="4">
        <v>55449</v>
      </c>
      <c r="K16" s="4">
        <v>29677</v>
      </c>
      <c r="L16" s="4">
        <v>97497</v>
      </c>
      <c r="M16" s="4">
        <v>30598</v>
      </c>
      <c r="N16" s="4">
        <v>40698</v>
      </c>
      <c r="O16" s="4">
        <v>0</v>
      </c>
      <c r="P16" s="4">
        <v>3127</v>
      </c>
      <c r="Q16" s="4">
        <v>257046</v>
      </c>
      <c r="R16" s="4">
        <v>55408</v>
      </c>
      <c r="S16" s="4">
        <v>32854</v>
      </c>
      <c r="T16" s="4">
        <v>96234</v>
      </c>
      <c r="U16" s="4">
        <v>30482</v>
      </c>
      <c r="V16" s="4">
        <v>37651</v>
      </c>
      <c r="W16" s="4">
        <v>485</v>
      </c>
      <c r="X16" s="4">
        <v>3016</v>
      </c>
      <c r="Y16" s="4">
        <v>256130</v>
      </c>
      <c r="Z16" s="9"/>
      <c r="AA16" s="8">
        <f t="shared" si="0"/>
        <v>36433.833333333336</v>
      </c>
      <c r="AB16" s="8">
        <f t="shared" si="1"/>
        <v>59830.111111111109</v>
      </c>
      <c r="AC16" s="8">
        <f t="shared" si="2"/>
        <v>3108.3333333333335</v>
      </c>
      <c r="AD16" s="8"/>
      <c r="AE16" s="8"/>
      <c r="AF16" s="8"/>
    </row>
    <row r="17" spans="1:32" s="1" customFormat="1" x14ac:dyDescent="0.2">
      <c r="A17" s="1" t="s">
        <v>30</v>
      </c>
      <c r="B17" s="4">
        <v>215041</v>
      </c>
      <c r="C17" s="4">
        <v>135814</v>
      </c>
      <c r="D17" s="4">
        <v>305171</v>
      </c>
      <c r="E17" s="4">
        <v>0</v>
      </c>
      <c r="F17" s="4">
        <v>407566</v>
      </c>
      <c r="G17" s="4">
        <v>0</v>
      </c>
      <c r="H17" s="4">
        <v>72710</v>
      </c>
      <c r="I17" s="4">
        <v>1136302</v>
      </c>
      <c r="J17" s="4">
        <v>215035</v>
      </c>
      <c r="K17" s="4">
        <v>135114</v>
      </c>
      <c r="L17" s="4">
        <v>282739</v>
      </c>
      <c r="M17" s="4">
        <v>0</v>
      </c>
      <c r="N17" s="4">
        <v>396863</v>
      </c>
      <c r="O17" s="4">
        <v>0</v>
      </c>
      <c r="P17" s="4">
        <v>71905</v>
      </c>
      <c r="Q17" s="4">
        <v>1101656</v>
      </c>
      <c r="R17" s="4">
        <v>214542</v>
      </c>
      <c r="S17" s="4">
        <v>137115</v>
      </c>
      <c r="T17" s="4">
        <v>263812</v>
      </c>
      <c r="U17" s="4">
        <v>0</v>
      </c>
      <c r="V17" s="4">
        <v>376150</v>
      </c>
      <c r="W17" s="4">
        <v>0</v>
      </c>
      <c r="X17" s="4">
        <v>76107</v>
      </c>
      <c r="Y17" s="4">
        <v>1067726</v>
      </c>
      <c r="Z17" s="9"/>
      <c r="AA17" s="8">
        <f t="shared" si="0"/>
        <v>175443.5</v>
      </c>
      <c r="AB17" s="8">
        <f t="shared" si="1"/>
        <v>225811.22222222222</v>
      </c>
      <c r="AC17" s="8">
        <f t="shared" si="2"/>
        <v>73574</v>
      </c>
      <c r="AD17" s="8"/>
      <c r="AE17" s="8"/>
      <c r="AF17" s="8"/>
    </row>
    <row r="18" spans="1:32" s="1" customFormat="1" x14ac:dyDescent="0.2">
      <c r="A18" s="1" t="s">
        <v>31</v>
      </c>
      <c r="B18" s="4">
        <v>112578</v>
      </c>
      <c r="C18" s="4">
        <v>44697</v>
      </c>
      <c r="D18" s="4">
        <v>191165</v>
      </c>
      <c r="E18" s="4">
        <v>34246</v>
      </c>
      <c r="F18" s="4">
        <v>28021</v>
      </c>
      <c r="G18" s="4">
        <v>0</v>
      </c>
      <c r="H18" s="4">
        <v>3255</v>
      </c>
      <c r="I18" s="4">
        <v>413962</v>
      </c>
      <c r="J18" s="4">
        <v>112579</v>
      </c>
      <c r="K18" s="4">
        <v>43499</v>
      </c>
      <c r="L18" s="4">
        <v>150426</v>
      </c>
      <c r="M18" s="4">
        <v>37154</v>
      </c>
      <c r="N18" s="4">
        <v>43574</v>
      </c>
      <c r="O18" s="4">
        <v>0</v>
      </c>
      <c r="P18" s="4">
        <v>3080</v>
      </c>
      <c r="Q18" s="4">
        <v>390312</v>
      </c>
      <c r="R18" s="4">
        <v>112528</v>
      </c>
      <c r="S18" s="4">
        <v>43931</v>
      </c>
      <c r="T18" s="4">
        <v>147718</v>
      </c>
      <c r="U18" s="4">
        <v>36368</v>
      </c>
      <c r="V18" s="4">
        <v>40991</v>
      </c>
      <c r="W18" s="4">
        <v>1088</v>
      </c>
      <c r="X18" s="4">
        <v>2862</v>
      </c>
      <c r="Y18" s="4">
        <v>385486</v>
      </c>
      <c r="Z18" s="9"/>
      <c r="AA18" s="8">
        <f t="shared" si="0"/>
        <v>78302</v>
      </c>
      <c r="AB18" s="8">
        <f t="shared" si="1"/>
        <v>78851.444444444438</v>
      </c>
      <c r="AC18" s="8">
        <f t="shared" si="2"/>
        <v>3065.6666666666665</v>
      </c>
      <c r="AD18" s="8"/>
      <c r="AE18" s="8"/>
      <c r="AF18" s="8"/>
    </row>
    <row r="19" spans="1:32" s="1" customFormat="1" x14ac:dyDescent="0.2">
      <c r="A19" s="1" t="s">
        <v>32</v>
      </c>
      <c r="B19" s="4">
        <v>146976</v>
      </c>
      <c r="C19" s="4">
        <v>53215</v>
      </c>
      <c r="D19" s="4">
        <v>389462</v>
      </c>
      <c r="E19" s="4">
        <v>0</v>
      </c>
      <c r="F19" s="4">
        <v>325124</v>
      </c>
      <c r="G19" s="4">
        <v>0</v>
      </c>
      <c r="H19" s="4">
        <v>99325</v>
      </c>
      <c r="I19" s="4">
        <v>1014102</v>
      </c>
      <c r="J19" s="4">
        <v>146976</v>
      </c>
      <c r="K19" s="4">
        <v>51977</v>
      </c>
      <c r="L19" s="4">
        <v>385662</v>
      </c>
      <c r="M19" s="4">
        <v>0</v>
      </c>
      <c r="N19" s="4">
        <v>321721</v>
      </c>
      <c r="O19" s="4">
        <v>0</v>
      </c>
      <c r="P19" s="4">
        <v>98084</v>
      </c>
      <c r="Q19" s="4">
        <v>1004420</v>
      </c>
      <c r="R19" s="4">
        <v>146963</v>
      </c>
      <c r="S19" s="4">
        <v>52927</v>
      </c>
      <c r="T19" s="4">
        <v>382872</v>
      </c>
      <c r="U19" s="4">
        <v>0</v>
      </c>
      <c r="V19" s="4">
        <v>319081</v>
      </c>
      <c r="W19" s="4">
        <v>0</v>
      </c>
      <c r="X19" s="4">
        <v>97002</v>
      </c>
      <c r="Y19" s="4">
        <v>998845</v>
      </c>
      <c r="Z19" s="9"/>
      <c r="AA19" s="8">
        <f t="shared" si="0"/>
        <v>99839</v>
      </c>
      <c r="AB19" s="8">
        <f t="shared" si="1"/>
        <v>235991.33333333334</v>
      </c>
      <c r="AC19" s="8">
        <f t="shared" si="2"/>
        <v>98137</v>
      </c>
      <c r="AD19" s="8"/>
      <c r="AE19" s="8"/>
      <c r="AF19" s="8"/>
    </row>
    <row r="20" spans="1:32" s="1" customFormat="1" x14ac:dyDescent="0.2">
      <c r="A20" s="1" t="s">
        <v>33</v>
      </c>
      <c r="B20" s="4">
        <v>86022</v>
      </c>
      <c r="C20" s="4">
        <v>42212</v>
      </c>
      <c r="D20" s="4">
        <v>267309</v>
      </c>
      <c r="E20" s="4">
        <v>46836</v>
      </c>
      <c r="F20" s="4">
        <v>21577</v>
      </c>
      <c r="G20" s="4">
        <v>0</v>
      </c>
      <c r="H20" s="4">
        <v>21802</v>
      </c>
      <c r="I20" s="4">
        <v>485758</v>
      </c>
      <c r="J20" s="4">
        <v>86040</v>
      </c>
      <c r="K20" s="4">
        <v>42347</v>
      </c>
      <c r="L20" s="4">
        <v>246601</v>
      </c>
      <c r="M20" s="4">
        <v>66454</v>
      </c>
      <c r="N20" s="4">
        <v>67898</v>
      </c>
      <c r="O20" s="4">
        <v>0</v>
      </c>
      <c r="P20" s="4">
        <v>24671</v>
      </c>
      <c r="Q20" s="4">
        <v>534011</v>
      </c>
      <c r="R20" s="4">
        <v>86016</v>
      </c>
      <c r="S20" s="4">
        <v>42345</v>
      </c>
      <c r="T20" s="4">
        <v>245891</v>
      </c>
      <c r="U20" s="4">
        <v>66425</v>
      </c>
      <c r="V20" s="4">
        <v>60205</v>
      </c>
      <c r="W20" s="4">
        <v>0</v>
      </c>
      <c r="X20" s="4">
        <v>23723</v>
      </c>
      <c r="Y20" s="4">
        <v>524605</v>
      </c>
      <c r="Z20" s="9"/>
      <c r="AA20" s="8">
        <f t="shared" si="0"/>
        <v>64163.666666666664</v>
      </c>
      <c r="AB20" s="8">
        <f t="shared" si="1"/>
        <v>121021.77777777778</v>
      </c>
      <c r="AC20" s="8">
        <f t="shared" si="2"/>
        <v>23398.666666666668</v>
      </c>
      <c r="AD20" s="8"/>
      <c r="AE20" s="8"/>
      <c r="AF20" s="8"/>
    </row>
    <row r="21" spans="1:32" s="1" customFormat="1" x14ac:dyDescent="0.2">
      <c r="A21" s="1" t="s">
        <v>34</v>
      </c>
      <c r="B21" s="4">
        <v>24423</v>
      </c>
      <c r="C21" s="4">
        <v>19892</v>
      </c>
      <c r="D21" s="4">
        <v>1870272</v>
      </c>
      <c r="E21" s="4">
        <v>0</v>
      </c>
      <c r="F21" s="4">
        <v>1488413</v>
      </c>
      <c r="G21" s="4">
        <v>0</v>
      </c>
      <c r="H21" s="4">
        <v>942338</v>
      </c>
      <c r="I21" s="4">
        <v>4345338</v>
      </c>
      <c r="J21" s="4">
        <v>24457</v>
      </c>
      <c r="K21" s="4">
        <v>15661</v>
      </c>
      <c r="L21" s="4">
        <v>1857643</v>
      </c>
      <c r="M21" s="4">
        <v>0</v>
      </c>
      <c r="N21" s="4">
        <v>1466291</v>
      </c>
      <c r="O21" s="4">
        <v>0</v>
      </c>
      <c r="P21" s="4">
        <v>937412</v>
      </c>
      <c r="Q21" s="4">
        <v>4301464</v>
      </c>
      <c r="R21" s="4">
        <v>24539</v>
      </c>
      <c r="S21" s="4">
        <v>20189</v>
      </c>
      <c r="T21" s="4">
        <v>1865904</v>
      </c>
      <c r="U21" s="4">
        <v>0</v>
      </c>
      <c r="V21" s="4">
        <v>1428301</v>
      </c>
      <c r="W21" s="4">
        <v>0</v>
      </c>
      <c r="X21" s="4">
        <v>930875</v>
      </c>
      <c r="Y21" s="4">
        <v>4269808</v>
      </c>
      <c r="Z21" s="9"/>
      <c r="AA21" s="8">
        <f t="shared" si="0"/>
        <v>21526.833333333332</v>
      </c>
      <c r="AB21" s="8">
        <f t="shared" si="1"/>
        <v>1108536</v>
      </c>
      <c r="AC21" s="8">
        <f t="shared" si="2"/>
        <v>936875</v>
      </c>
      <c r="AD21" s="8"/>
      <c r="AE21" s="8"/>
      <c r="AF21" s="8"/>
    </row>
    <row r="22" spans="1:32" s="1" customFormat="1" x14ac:dyDescent="0.2">
      <c r="A22" s="1" t="s">
        <v>35</v>
      </c>
      <c r="B22" s="4">
        <v>116556</v>
      </c>
      <c r="C22" s="4">
        <v>126852</v>
      </c>
      <c r="D22" s="4">
        <v>579664</v>
      </c>
      <c r="E22" s="4">
        <v>0</v>
      </c>
      <c r="F22" s="4">
        <v>387688</v>
      </c>
      <c r="G22" s="4">
        <v>0</v>
      </c>
      <c r="H22" s="4">
        <v>72335</v>
      </c>
      <c r="I22" s="4">
        <v>1283095</v>
      </c>
      <c r="J22" s="4">
        <v>121052</v>
      </c>
      <c r="K22" s="4">
        <v>126501</v>
      </c>
      <c r="L22" s="4">
        <v>624211</v>
      </c>
      <c r="M22" s="4">
        <v>0</v>
      </c>
      <c r="N22" s="4">
        <v>430254</v>
      </c>
      <c r="O22" s="4">
        <v>0</v>
      </c>
      <c r="P22" s="4">
        <v>76572</v>
      </c>
      <c r="Q22" s="4">
        <v>1378590</v>
      </c>
      <c r="R22" s="4">
        <v>121174</v>
      </c>
      <c r="S22" s="4">
        <v>122922</v>
      </c>
      <c r="T22" s="4">
        <v>562565</v>
      </c>
      <c r="U22" s="4">
        <v>0</v>
      </c>
      <c r="V22" s="4">
        <v>407618</v>
      </c>
      <c r="W22" s="4">
        <v>0</v>
      </c>
      <c r="X22" s="4">
        <v>75062</v>
      </c>
      <c r="Y22" s="4">
        <v>1289341</v>
      </c>
      <c r="Z22" s="9"/>
      <c r="AA22" s="8">
        <f t="shared" si="0"/>
        <v>122509.5</v>
      </c>
      <c r="AB22" s="8">
        <f t="shared" si="1"/>
        <v>332444.44444444444</v>
      </c>
      <c r="AC22" s="8">
        <f t="shared" si="2"/>
        <v>74656.333333333328</v>
      </c>
      <c r="AD22" s="8"/>
      <c r="AE22" s="8"/>
      <c r="AF22" s="8"/>
    </row>
    <row r="23" spans="1:32" s="1" customFormat="1" x14ac:dyDescent="0.2">
      <c r="A23" s="1" t="s">
        <v>36</v>
      </c>
      <c r="B23" s="4">
        <v>0</v>
      </c>
      <c r="C23" s="4">
        <v>78984</v>
      </c>
      <c r="D23" s="4">
        <v>463087</v>
      </c>
      <c r="E23" s="4">
        <v>76269</v>
      </c>
      <c r="F23" s="4">
        <v>25236</v>
      </c>
      <c r="G23" s="4">
        <v>0</v>
      </c>
      <c r="H23" s="4">
        <v>10465</v>
      </c>
      <c r="I23" s="4">
        <v>654041</v>
      </c>
      <c r="J23" s="4">
        <v>139670</v>
      </c>
      <c r="K23" s="4">
        <v>79145</v>
      </c>
      <c r="L23" s="4">
        <v>307322</v>
      </c>
      <c r="M23" s="4">
        <v>115615</v>
      </c>
      <c r="N23" s="4">
        <v>98008</v>
      </c>
      <c r="O23" s="4">
        <v>0</v>
      </c>
      <c r="P23" s="4">
        <v>14391</v>
      </c>
      <c r="Q23" s="4">
        <v>754151</v>
      </c>
      <c r="R23" s="4">
        <v>139617</v>
      </c>
      <c r="S23" s="4">
        <v>81574</v>
      </c>
      <c r="T23" s="4">
        <v>301793</v>
      </c>
      <c r="U23" s="4">
        <v>115153</v>
      </c>
      <c r="V23" s="4">
        <v>94198</v>
      </c>
      <c r="W23" s="4">
        <v>1276</v>
      </c>
      <c r="X23" s="4">
        <v>13460</v>
      </c>
      <c r="Y23" s="4">
        <v>747071</v>
      </c>
      <c r="Z23" s="9"/>
      <c r="AA23" s="8">
        <f t="shared" si="0"/>
        <v>86498.333333333328</v>
      </c>
      <c r="AB23" s="8">
        <f t="shared" si="1"/>
        <v>177409</v>
      </c>
      <c r="AC23" s="8">
        <f t="shared" si="2"/>
        <v>12772</v>
      </c>
      <c r="AD23" s="8"/>
      <c r="AE23" s="8"/>
      <c r="AF23" s="8"/>
    </row>
    <row r="24" spans="1:32" s="1" customFormat="1" x14ac:dyDescent="0.2">
      <c r="A24" s="1" t="s">
        <v>37</v>
      </c>
      <c r="B24" s="4">
        <v>100712</v>
      </c>
      <c r="C24" s="4">
        <v>118555</v>
      </c>
      <c r="D24" s="4">
        <v>49115</v>
      </c>
      <c r="E24" s="4">
        <v>0</v>
      </c>
      <c r="F24" s="4">
        <v>94358</v>
      </c>
      <c r="G24" s="4">
        <v>0</v>
      </c>
      <c r="H24" s="4">
        <v>9115</v>
      </c>
      <c r="I24" s="4">
        <v>371855</v>
      </c>
      <c r="J24" s="4">
        <v>100553</v>
      </c>
      <c r="K24" s="4">
        <v>106276</v>
      </c>
      <c r="L24" s="4">
        <v>41873</v>
      </c>
      <c r="M24" s="4">
        <v>0</v>
      </c>
      <c r="N24" s="4">
        <v>88488</v>
      </c>
      <c r="O24" s="4">
        <v>0</v>
      </c>
      <c r="P24" s="4">
        <v>9016</v>
      </c>
      <c r="Q24" s="4">
        <v>346206</v>
      </c>
      <c r="R24" s="4">
        <v>108320</v>
      </c>
      <c r="S24" s="4">
        <v>108349</v>
      </c>
      <c r="T24" s="4">
        <v>41429</v>
      </c>
      <c r="U24" s="4">
        <v>0</v>
      </c>
      <c r="V24" s="4">
        <v>96739</v>
      </c>
      <c r="W24" s="4">
        <v>61</v>
      </c>
      <c r="X24" s="4">
        <v>9007</v>
      </c>
      <c r="Y24" s="4">
        <v>363905</v>
      </c>
      <c r="Z24" s="9"/>
      <c r="AA24" s="8">
        <f t="shared" si="0"/>
        <v>107127.5</v>
      </c>
      <c r="AB24" s="8">
        <f t="shared" si="1"/>
        <v>45778</v>
      </c>
      <c r="AC24" s="8">
        <f t="shared" si="2"/>
        <v>9046</v>
      </c>
      <c r="AD24" s="8"/>
      <c r="AE24" s="8"/>
      <c r="AF24" s="8"/>
    </row>
    <row r="25" spans="1:32" s="1" customFormat="1" x14ac:dyDescent="0.2">
      <c r="A25" s="1" t="s">
        <v>38</v>
      </c>
      <c r="B25" s="4">
        <v>325113</v>
      </c>
      <c r="C25" s="4">
        <v>194192</v>
      </c>
      <c r="D25" s="4">
        <v>361230</v>
      </c>
      <c r="E25" s="4">
        <v>0</v>
      </c>
      <c r="F25" s="4">
        <v>615649</v>
      </c>
      <c r="G25" s="4">
        <v>0</v>
      </c>
      <c r="H25" s="4">
        <v>106191</v>
      </c>
      <c r="I25" s="4">
        <v>1602375</v>
      </c>
      <c r="J25" s="4">
        <v>323778</v>
      </c>
      <c r="K25" s="4">
        <v>176741</v>
      </c>
      <c r="L25" s="4">
        <v>356819</v>
      </c>
      <c r="M25" s="4">
        <v>0</v>
      </c>
      <c r="N25" s="4">
        <v>596677</v>
      </c>
      <c r="O25" s="4">
        <v>0</v>
      </c>
      <c r="P25" s="4">
        <v>104820</v>
      </c>
      <c r="Q25" s="4">
        <v>1558835</v>
      </c>
      <c r="R25" s="4">
        <v>306302</v>
      </c>
      <c r="S25" s="4">
        <v>181655</v>
      </c>
      <c r="T25" s="4">
        <v>311774</v>
      </c>
      <c r="U25" s="4">
        <v>0</v>
      </c>
      <c r="V25" s="4">
        <v>516779</v>
      </c>
      <c r="W25" s="4">
        <v>0</v>
      </c>
      <c r="X25" s="4">
        <v>89736</v>
      </c>
      <c r="Y25" s="4">
        <v>1406246</v>
      </c>
      <c r="Z25" s="9"/>
      <c r="AA25" s="8">
        <f t="shared" si="0"/>
        <v>251296.83333333334</v>
      </c>
      <c r="AB25" s="8">
        <f t="shared" si="1"/>
        <v>306547.55555555556</v>
      </c>
      <c r="AC25" s="8">
        <f t="shared" si="2"/>
        <v>100249</v>
      </c>
      <c r="AD25" s="8"/>
      <c r="AE25" s="8"/>
      <c r="AF25" s="8"/>
    </row>
    <row r="26" spans="1:32" s="1" customFormat="1" x14ac:dyDescent="0.2">
      <c r="A26" s="1" t="s">
        <v>39</v>
      </c>
      <c r="B26" s="4">
        <v>100571</v>
      </c>
      <c r="C26" s="4">
        <v>98945</v>
      </c>
      <c r="D26" s="4">
        <v>213566</v>
      </c>
      <c r="E26" s="4">
        <v>0</v>
      </c>
      <c r="F26" s="4">
        <v>285000</v>
      </c>
      <c r="G26" s="4">
        <v>0</v>
      </c>
      <c r="H26" s="4">
        <v>42526</v>
      </c>
      <c r="I26" s="4">
        <v>740608</v>
      </c>
      <c r="J26" s="4">
        <v>100565</v>
      </c>
      <c r="K26" s="4">
        <v>98095</v>
      </c>
      <c r="L26" s="4">
        <v>204257</v>
      </c>
      <c r="M26" s="4">
        <v>0</v>
      </c>
      <c r="N26" s="4">
        <v>289160</v>
      </c>
      <c r="O26" s="4">
        <v>0</v>
      </c>
      <c r="P26" s="4">
        <v>42210</v>
      </c>
      <c r="Q26" s="4">
        <v>734287</v>
      </c>
      <c r="R26" s="4">
        <v>100467</v>
      </c>
      <c r="S26" s="4">
        <v>99428</v>
      </c>
      <c r="T26" s="4">
        <v>200550</v>
      </c>
      <c r="U26" s="4">
        <v>0</v>
      </c>
      <c r="V26" s="4">
        <v>283114</v>
      </c>
      <c r="W26" s="4">
        <v>0</v>
      </c>
      <c r="X26" s="4">
        <v>41526</v>
      </c>
      <c r="Y26" s="4">
        <v>725085</v>
      </c>
      <c r="Z26" s="9"/>
      <c r="AA26" s="8">
        <f t="shared" si="0"/>
        <v>99678.5</v>
      </c>
      <c r="AB26" s="8">
        <f t="shared" si="1"/>
        <v>163960.77777777778</v>
      </c>
      <c r="AC26" s="8">
        <f t="shared" si="2"/>
        <v>42087.333333333336</v>
      </c>
      <c r="AD26" s="8"/>
      <c r="AE26" s="8"/>
      <c r="AF26" s="8"/>
    </row>
    <row r="27" spans="1:32" s="1" customFormat="1" x14ac:dyDescent="0.2">
      <c r="A27" s="1" t="s">
        <v>40</v>
      </c>
      <c r="B27" s="4">
        <v>72868</v>
      </c>
      <c r="C27" s="4">
        <v>44890</v>
      </c>
      <c r="D27" s="4">
        <v>169226</v>
      </c>
      <c r="E27" s="4">
        <v>46173</v>
      </c>
      <c r="F27" s="4">
        <v>95064</v>
      </c>
      <c r="G27" s="4">
        <v>0</v>
      </c>
      <c r="H27" s="4">
        <v>3701</v>
      </c>
      <c r="I27" s="4">
        <v>431922</v>
      </c>
      <c r="J27" s="4">
        <v>72868</v>
      </c>
      <c r="K27" s="4">
        <v>44443</v>
      </c>
      <c r="L27" s="4">
        <v>143532</v>
      </c>
      <c r="M27" s="4">
        <v>69316</v>
      </c>
      <c r="N27" s="4">
        <v>94482</v>
      </c>
      <c r="O27" s="4">
        <v>0</v>
      </c>
      <c r="P27" s="4">
        <v>3590</v>
      </c>
      <c r="Q27" s="4">
        <v>428231</v>
      </c>
      <c r="R27" s="4">
        <v>70923</v>
      </c>
      <c r="S27" s="4">
        <v>45166</v>
      </c>
      <c r="T27" s="4">
        <v>141667</v>
      </c>
      <c r="U27" s="4">
        <v>69134</v>
      </c>
      <c r="V27" s="4">
        <v>91044</v>
      </c>
      <c r="W27" s="4">
        <v>1527</v>
      </c>
      <c r="X27" s="4">
        <v>3394</v>
      </c>
      <c r="Y27" s="4">
        <v>422855</v>
      </c>
      <c r="Z27" s="9"/>
      <c r="AA27" s="8">
        <f t="shared" si="0"/>
        <v>58526.333333333336</v>
      </c>
      <c r="AB27" s="8">
        <f t="shared" si="1"/>
        <v>102182</v>
      </c>
      <c r="AC27" s="8">
        <f t="shared" si="2"/>
        <v>3561.6666666666665</v>
      </c>
      <c r="AD27" s="8"/>
      <c r="AE27" s="8"/>
      <c r="AF27" s="8"/>
    </row>
    <row r="28" spans="1:32" s="1" customFormat="1" x14ac:dyDescent="0.2">
      <c r="A28" s="1" t="s">
        <v>41</v>
      </c>
      <c r="B28" s="4">
        <v>0</v>
      </c>
      <c r="C28" s="4">
        <v>56319</v>
      </c>
      <c r="D28" s="4">
        <v>943943</v>
      </c>
      <c r="E28" s="4">
        <v>0</v>
      </c>
      <c r="F28" s="4">
        <v>693120</v>
      </c>
      <c r="G28" s="4">
        <v>0</v>
      </c>
      <c r="H28" s="4">
        <v>179745</v>
      </c>
      <c r="I28" s="4">
        <v>1873127</v>
      </c>
      <c r="J28" s="4">
        <v>0</v>
      </c>
      <c r="K28" s="4">
        <v>56248</v>
      </c>
      <c r="L28" s="4">
        <v>905566</v>
      </c>
      <c r="M28" s="4">
        <v>0</v>
      </c>
      <c r="N28" s="4">
        <v>665649</v>
      </c>
      <c r="O28" s="4">
        <v>0</v>
      </c>
      <c r="P28" s="4">
        <v>178760</v>
      </c>
      <c r="Q28" s="4">
        <v>1806223</v>
      </c>
      <c r="R28" s="4">
        <v>141965</v>
      </c>
      <c r="S28" s="4">
        <v>56366</v>
      </c>
      <c r="T28" s="4">
        <v>798147</v>
      </c>
      <c r="U28" s="4">
        <v>0</v>
      </c>
      <c r="V28" s="4">
        <v>630860</v>
      </c>
      <c r="W28" s="4">
        <v>0</v>
      </c>
      <c r="X28" s="4">
        <v>181154</v>
      </c>
      <c r="Y28" s="4">
        <v>1808492</v>
      </c>
      <c r="Z28" s="9"/>
      <c r="AA28" s="8">
        <f t="shared" si="0"/>
        <v>51816.333333333336</v>
      </c>
      <c r="AB28" s="8">
        <f t="shared" si="1"/>
        <v>515253.88888888888</v>
      </c>
      <c r="AC28" s="8">
        <f t="shared" si="2"/>
        <v>179886.33333333334</v>
      </c>
      <c r="AD28" s="8"/>
      <c r="AE28" s="8"/>
      <c r="AF28" s="8"/>
    </row>
    <row r="29" spans="1:32" s="1" customFormat="1" x14ac:dyDescent="0.2">
      <c r="A29" s="1" t="s">
        <v>42</v>
      </c>
      <c r="B29" s="4">
        <v>84902</v>
      </c>
      <c r="C29" s="4">
        <v>99676</v>
      </c>
      <c r="D29" s="4">
        <v>280207</v>
      </c>
      <c r="E29" s="4">
        <v>0</v>
      </c>
      <c r="F29" s="4">
        <v>218294</v>
      </c>
      <c r="G29" s="4">
        <v>0</v>
      </c>
      <c r="H29" s="4">
        <v>118499</v>
      </c>
      <c r="I29" s="4">
        <v>801578</v>
      </c>
      <c r="J29" s="4">
        <v>99615</v>
      </c>
      <c r="K29" s="4">
        <v>83442</v>
      </c>
      <c r="L29" s="4">
        <v>269141</v>
      </c>
      <c r="M29" s="4">
        <v>0</v>
      </c>
      <c r="N29" s="4">
        <v>214769</v>
      </c>
      <c r="O29" s="4">
        <v>0</v>
      </c>
      <c r="P29" s="4">
        <v>114461</v>
      </c>
      <c r="Q29" s="4">
        <v>781428</v>
      </c>
      <c r="R29" s="4">
        <v>99444</v>
      </c>
      <c r="S29" s="4">
        <v>84557</v>
      </c>
      <c r="T29" s="4">
        <v>259353</v>
      </c>
      <c r="U29" s="4">
        <v>0</v>
      </c>
      <c r="V29" s="4">
        <v>216713</v>
      </c>
      <c r="W29" s="4">
        <v>0</v>
      </c>
      <c r="X29" s="4">
        <v>113560</v>
      </c>
      <c r="Y29" s="4">
        <v>773627</v>
      </c>
      <c r="Z29" s="9"/>
      <c r="AA29" s="8">
        <f t="shared" si="0"/>
        <v>91939.333333333328</v>
      </c>
      <c r="AB29" s="8">
        <f t="shared" si="1"/>
        <v>162053</v>
      </c>
      <c r="AC29" s="8">
        <f t="shared" si="2"/>
        <v>115506.66666666667</v>
      </c>
      <c r="AD29" s="8"/>
      <c r="AE29" s="8"/>
      <c r="AF29" s="8"/>
    </row>
    <row r="30" spans="1:32" s="1" customFormat="1" x14ac:dyDescent="0.2">
      <c r="A30" s="1" t="s">
        <v>43</v>
      </c>
      <c r="B30" s="4">
        <v>46896</v>
      </c>
      <c r="C30" s="4">
        <v>40741</v>
      </c>
      <c r="D30" s="4">
        <v>201766</v>
      </c>
      <c r="E30" s="4">
        <v>0</v>
      </c>
      <c r="F30" s="4">
        <v>108989</v>
      </c>
      <c r="G30" s="4">
        <v>0</v>
      </c>
      <c r="H30" s="4">
        <v>44084</v>
      </c>
      <c r="I30" s="4">
        <v>442476</v>
      </c>
      <c r="J30" s="4">
        <v>51547</v>
      </c>
      <c r="K30" s="4">
        <v>38748</v>
      </c>
      <c r="L30" s="4">
        <v>199045</v>
      </c>
      <c r="M30" s="4">
        <v>0</v>
      </c>
      <c r="N30" s="4">
        <v>106639</v>
      </c>
      <c r="O30" s="4">
        <v>0</v>
      </c>
      <c r="P30" s="4">
        <v>43654</v>
      </c>
      <c r="Q30" s="4">
        <v>439633</v>
      </c>
      <c r="R30" s="4">
        <v>55151</v>
      </c>
      <c r="S30" s="4">
        <v>40641</v>
      </c>
      <c r="T30" s="4">
        <v>193589</v>
      </c>
      <c r="U30" s="4">
        <v>0</v>
      </c>
      <c r="V30" s="4">
        <v>105980</v>
      </c>
      <c r="W30" s="4">
        <v>0</v>
      </c>
      <c r="X30" s="4">
        <v>43048</v>
      </c>
      <c r="Y30" s="4">
        <v>438409</v>
      </c>
      <c r="Z30" s="9"/>
      <c r="AA30" s="8">
        <f t="shared" si="0"/>
        <v>45620.666666666664</v>
      </c>
      <c r="AB30" s="8">
        <f t="shared" si="1"/>
        <v>101778.66666666667</v>
      </c>
      <c r="AC30" s="8">
        <f t="shared" si="2"/>
        <v>43595.333333333336</v>
      </c>
      <c r="AD30" s="8"/>
      <c r="AE30" s="8"/>
      <c r="AF30" s="8"/>
    </row>
    <row r="31" spans="1:32" s="1" customFormat="1" x14ac:dyDescent="0.2">
      <c r="A31" s="1" t="s">
        <v>44</v>
      </c>
      <c r="B31" s="4">
        <v>65245</v>
      </c>
      <c r="C31" s="4">
        <v>31181</v>
      </c>
      <c r="D31" s="4">
        <v>321643</v>
      </c>
      <c r="E31" s="4">
        <v>0</v>
      </c>
      <c r="F31" s="4">
        <v>266540</v>
      </c>
      <c r="G31" s="4">
        <v>0</v>
      </c>
      <c r="H31" s="4">
        <v>81178</v>
      </c>
      <c r="I31" s="4">
        <v>765787</v>
      </c>
      <c r="J31" s="4">
        <v>65245</v>
      </c>
      <c r="K31" s="4">
        <v>31007</v>
      </c>
      <c r="L31" s="4">
        <v>317536</v>
      </c>
      <c r="M31" s="4">
        <v>0</v>
      </c>
      <c r="N31" s="4">
        <v>264386</v>
      </c>
      <c r="O31" s="4">
        <v>0</v>
      </c>
      <c r="P31" s="4">
        <v>80498</v>
      </c>
      <c r="Q31" s="4">
        <v>758672</v>
      </c>
      <c r="R31" s="4">
        <v>65350</v>
      </c>
      <c r="S31" s="4">
        <v>31277</v>
      </c>
      <c r="T31" s="4">
        <v>314642</v>
      </c>
      <c r="U31" s="4">
        <v>0</v>
      </c>
      <c r="V31" s="4">
        <v>257110</v>
      </c>
      <c r="W31" s="4">
        <v>442</v>
      </c>
      <c r="X31" s="4">
        <v>79544</v>
      </c>
      <c r="Y31" s="4">
        <v>748365</v>
      </c>
      <c r="Z31" s="9"/>
      <c r="AA31" s="8">
        <f t="shared" si="0"/>
        <v>48217.5</v>
      </c>
      <c r="AB31" s="8">
        <f t="shared" si="1"/>
        <v>193539.66666666666</v>
      </c>
      <c r="AC31" s="8">
        <f t="shared" si="2"/>
        <v>80406.666666666672</v>
      </c>
      <c r="AD31" s="8"/>
      <c r="AE31" s="8"/>
      <c r="AF31" s="8"/>
    </row>
    <row r="32" spans="1:32" s="1" customFormat="1" x14ac:dyDescent="0.2">
      <c r="A32" s="1" t="s">
        <v>45</v>
      </c>
      <c r="B32" s="4">
        <v>120386</v>
      </c>
      <c r="C32" s="4">
        <v>26784</v>
      </c>
      <c r="D32" s="4">
        <v>283013</v>
      </c>
      <c r="E32" s="4">
        <v>0</v>
      </c>
      <c r="F32" s="4">
        <v>227710</v>
      </c>
      <c r="G32" s="4">
        <v>0</v>
      </c>
      <c r="H32" s="4">
        <v>58671</v>
      </c>
      <c r="I32" s="4">
        <v>716564</v>
      </c>
      <c r="J32" s="4">
        <v>120479</v>
      </c>
      <c r="K32" s="4">
        <v>27036</v>
      </c>
      <c r="L32" s="4">
        <v>288975</v>
      </c>
      <c r="M32" s="4">
        <v>0</v>
      </c>
      <c r="N32" s="4">
        <v>238055</v>
      </c>
      <c r="O32" s="4">
        <v>0</v>
      </c>
      <c r="P32" s="4">
        <v>58271</v>
      </c>
      <c r="Q32" s="4">
        <v>732816</v>
      </c>
      <c r="R32" s="4">
        <v>123197</v>
      </c>
      <c r="S32" s="4">
        <v>29621</v>
      </c>
      <c r="T32" s="4">
        <v>287267</v>
      </c>
      <c r="U32" s="4">
        <v>0</v>
      </c>
      <c r="V32" s="4">
        <v>234569</v>
      </c>
      <c r="W32" s="4">
        <v>0</v>
      </c>
      <c r="X32" s="4">
        <v>57738</v>
      </c>
      <c r="Y32" s="4">
        <v>732392</v>
      </c>
      <c r="Z32" s="9"/>
      <c r="AA32" s="8">
        <f t="shared" si="0"/>
        <v>74583.833333333328</v>
      </c>
      <c r="AB32" s="8">
        <f t="shared" si="1"/>
        <v>173287.66666666666</v>
      </c>
      <c r="AC32" s="8">
        <f t="shared" si="2"/>
        <v>58226.666666666664</v>
      </c>
      <c r="AD32" s="8"/>
      <c r="AE32" s="8"/>
      <c r="AF32" s="8"/>
    </row>
    <row r="33" spans="1:32" s="1" customFormat="1" x14ac:dyDescent="0.2">
      <c r="A33" s="1" t="s">
        <v>46</v>
      </c>
      <c r="B33" s="4">
        <v>45566</v>
      </c>
      <c r="C33" s="4">
        <v>21649</v>
      </c>
      <c r="D33" s="4">
        <v>148824</v>
      </c>
      <c r="E33" s="4">
        <v>0</v>
      </c>
      <c r="F33" s="4">
        <v>0</v>
      </c>
      <c r="G33" s="4">
        <v>0</v>
      </c>
      <c r="H33" s="4">
        <v>22297</v>
      </c>
      <c r="I33" s="4">
        <v>238336</v>
      </c>
      <c r="J33" s="4">
        <v>45614</v>
      </c>
      <c r="K33" s="4">
        <v>21527</v>
      </c>
      <c r="L33" s="4">
        <v>146785</v>
      </c>
      <c r="M33" s="4">
        <v>0</v>
      </c>
      <c r="N33" s="4">
        <v>0</v>
      </c>
      <c r="O33" s="4">
        <v>0</v>
      </c>
      <c r="P33" s="4">
        <v>22040</v>
      </c>
      <c r="Q33" s="4">
        <v>235966</v>
      </c>
      <c r="R33" s="4">
        <v>45900</v>
      </c>
      <c r="S33" s="4">
        <v>22075</v>
      </c>
      <c r="T33" s="4">
        <v>105542</v>
      </c>
      <c r="U33" s="4">
        <v>0</v>
      </c>
      <c r="V33" s="4">
        <v>39238</v>
      </c>
      <c r="W33" s="4">
        <v>0</v>
      </c>
      <c r="X33" s="4">
        <v>21718</v>
      </c>
      <c r="Y33" s="4">
        <v>234473</v>
      </c>
      <c r="Z33" s="9"/>
      <c r="AA33" s="8">
        <f t="shared" si="0"/>
        <v>33721.833333333336</v>
      </c>
      <c r="AB33" s="8">
        <f t="shared" si="1"/>
        <v>48932.111111111109</v>
      </c>
      <c r="AC33" s="8">
        <f t="shared" si="2"/>
        <v>22018.333333333332</v>
      </c>
      <c r="AD33" s="8"/>
      <c r="AE33" s="8"/>
      <c r="AF33" s="8"/>
    </row>
    <row r="34" spans="1:32" s="1" customFormat="1" x14ac:dyDescent="0.2">
      <c r="A34" s="1" t="s">
        <v>47</v>
      </c>
      <c r="B34" s="4">
        <v>173863</v>
      </c>
      <c r="C34" s="4">
        <v>57437</v>
      </c>
      <c r="D34" s="4">
        <v>283139</v>
      </c>
      <c r="E34" s="4">
        <v>0</v>
      </c>
      <c r="F34" s="4">
        <v>410443</v>
      </c>
      <c r="G34" s="4">
        <v>0</v>
      </c>
      <c r="H34" s="4">
        <v>76035</v>
      </c>
      <c r="I34" s="4">
        <v>1000917</v>
      </c>
      <c r="J34" s="4">
        <v>173867</v>
      </c>
      <c r="K34" s="4">
        <v>57661</v>
      </c>
      <c r="L34" s="4">
        <v>267329</v>
      </c>
      <c r="M34" s="4">
        <v>0</v>
      </c>
      <c r="N34" s="4">
        <v>368975</v>
      </c>
      <c r="O34" s="4">
        <v>0</v>
      </c>
      <c r="P34" s="4">
        <v>75305</v>
      </c>
      <c r="Q34" s="4">
        <v>943137</v>
      </c>
      <c r="R34" s="4">
        <v>173813</v>
      </c>
      <c r="S34" s="4">
        <v>62957</v>
      </c>
      <c r="T34" s="4">
        <v>261930</v>
      </c>
      <c r="U34" s="4">
        <v>0</v>
      </c>
      <c r="V34" s="4">
        <v>362521</v>
      </c>
      <c r="W34" s="4">
        <v>8</v>
      </c>
      <c r="X34" s="4">
        <v>74971</v>
      </c>
      <c r="Y34" s="4">
        <v>936200</v>
      </c>
      <c r="Z34" s="9"/>
      <c r="AA34" s="8">
        <f t="shared" si="0"/>
        <v>116599.66666666667</v>
      </c>
      <c r="AB34" s="8">
        <f t="shared" si="1"/>
        <v>217148.55555555556</v>
      </c>
      <c r="AC34" s="8">
        <f t="shared" si="2"/>
        <v>75437</v>
      </c>
      <c r="AD34" s="8"/>
      <c r="AE34" s="8"/>
      <c r="AF34" s="8"/>
    </row>
    <row r="35" spans="1:32" s="1" customFormat="1" x14ac:dyDescent="0.2">
      <c r="A35" s="1" t="s">
        <v>48</v>
      </c>
      <c r="B35" s="4">
        <v>58304</v>
      </c>
      <c r="C35" s="4">
        <v>48767</v>
      </c>
      <c r="D35" s="4">
        <v>55506</v>
      </c>
      <c r="E35" s="4">
        <v>0</v>
      </c>
      <c r="F35" s="4">
        <v>40520</v>
      </c>
      <c r="G35" s="4">
        <v>0</v>
      </c>
      <c r="H35" s="4">
        <v>4366</v>
      </c>
      <c r="I35" s="4">
        <v>207463</v>
      </c>
      <c r="J35" s="4">
        <v>58330</v>
      </c>
      <c r="K35" s="4">
        <v>48392</v>
      </c>
      <c r="L35" s="4">
        <v>52929</v>
      </c>
      <c r="M35" s="4">
        <v>0</v>
      </c>
      <c r="N35" s="4">
        <v>40809</v>
      </c>
      <c r="O35" s="4">
        <v>0</v>
      </c>
      <c r="P35" s="4">
        <v>4101</v>
      </c>
      <c r="Q35" s="4">
        <v>204561</v>
      </c>
      <c r="R35" s="4">
        <v>58330</v>
      </c>
      <c r="S35" s="4">
        <v>48323</v>
      </c>
      <c r="T35" s="4">
        <v>50113</v>
      </c>
      <c r="U35" s="4">
        <v>0</v>
      </c>
      <c r="V35" s="4">
        <v>42713</v>
      </c>
      <c r="W35" s="4">
        <v>0</v>
      </c>
      <c r="X35" s="4">
        <v>3748</v>
      </c>
      <c r="Y35" s="4">
        <v>203227</v>
      </c>
      <c r="Z35" s="9"/>
      <c r="AA35" s="8">
        <f t="shared" si="0"/>
        <v>53407.666666666664</v>
      </c>
      <c r="AB35" s="8">
        <f t="shared" si="1"/>
        <v>31398.888888888891</v>
      </c>
      <c r="AC35" s="8">
        <f t="shared" si="2"/>
        <v>4071.6666666666665</v>
      </c>
      <c r="AD35" s="8"/>
      <c r="AE35" s="8"/>
      <c r="AF35" s="8"/>
    </row>
    <row r="36" spans="1:32" s="1" customFormat="1" x14ac:dyDescent="0.2">
      <c r="A36" s="1" t="s">
        <v>49</v>
      </c>
      <c r="B36" s="4">
        <v>43806</v>
      </c>
      <c r="C36" s="4">
        <v>49146</v>
      </c>
      <c r="D36" s="4">
        <v>190155</v>
      </c>
      <c r="E36" s="4">
        <v>8820</v>
      </c>
      <c r="F36" s="4">
        <v>23691</v>
      </c>
      <c r="G36" s="4">
        <v>0</v>
      </c>
      <c r="H36" s="4">
        <v>12263</v>
      </c>
      <c r="I36" s="4">
        <v>327881</v>
      </c>
      <c r="J36" s="4">
        <v>43807</v>
      </c>
      <c r="K36" s="4">
        <v>49766</v>
      </c>
      <c r="L36" s="4">
        <v>186815</v>
      </c>
      <c r="M36" s="4">
        <v>9616</v>
      </c>
      <c r="N36" s="4">
        <v>22037</v>
      </c>
      <c r="O36" s="4">
        <v>0</v>
      </c>
      <c r="P36" s="4">
        <v>12105</v>
      </c>
      <c r="Q36" s="4">
        <v>324146</v>
      </c>
      <c r="R36" s="4">
        <v>43923</v>
      </c>
      <c r="S36" s="4">
        <v>47102</v>
      </c>
      <c r="T36" s="4">
        <v>175320</v>
      </c>
      <c r="U36" s="4">
        <v>18851</v>
      </c>
      <c r="V36" s="4">
        <v>21617</v>
      </c>
      <c r="W36" s="4">
        <v>0</v>
      </c>
      <c r="X36" s="4">
        <v>10751</v>
      </c>
      <c r="Y36" s="4">
        <v>317564</v>
      </c>
      <c r="Z36" s="9"/>
      <c r="AA36" s="8">
        <f t="shared" si="0"/>
        <v>46258.333333333336</v>
      </c>
      <c r="AB36" s="8">
        <f t="shared" si="1"/>
        <v>72991.333333333328</v>
      </c>
      <c r="AC36" s="8">
        <f t="shared" si="2"/>
        <v>11706.333333333334</v>
      </c>
      <c r="AD36" s="8"/>
      <c r="AE36" s="8"/>
      <c r="AF36" s="8"/>
    </row>
    <row r="37" spans="1:32" s="1" customFormat="1" x14ac:dyDescent="0.2">
      <c r="A37" s="1" t="s">
        <v>50</v>
      </c>
      <c r="B37" s="4">
        <v>50323</v>
      </c>
      <c r="C37" s="4">
        <v>66862</v>
      </c>
      <c r="D37" s="4">
        <v>144270</v>
      </c>
      <c r="E37" s="4">
        <v>10492</v>
      </c>
      <c r="F37" s="4">
        <v>14544</v>
      </c>
      <c r="G37" s="4">
        <v>0</v>
      </c>
      <c r="H37" s="4">
        <v>10456</v>
      </c>
      <c r="I37" s="4">
        <v>296947</v>
      </c>
      <c r="J37" s="4">
        <v>66862</v>
      </c>
      <c r="K37" s="4">
        <v>49924</v>
      </c>
      <c r="L37" s="4">
        <v>131514</v>
      </c>
      <c r="M37" s="4">
        <v>14459</v>
      </c>
      <c r="N37" s="4">
        <v>21399</v>
      </c>
      <c r="O37" s="4">
        <v>0</v>
      </c>
      <c r="P37" s="4">
        <v>13490</v>
      </c>
      <c r="Q37" s="4">
        <v>297648</v>
      </c>
      <c r="R37" s="4">
        <v>66862</v>
      </c>
      <c r="S37" s="4">
        <v>46987</v>
      </c>
      <c r="T37" s="4">
        <v>120699</v>
      </c>
      <c r="U37" s="4">
        <v>19806</v>
      </c>
      <c r="V37" s="4">
        <v>22181</v>
      </c>
      <c r="W37" s="4">
        <v>0</v>
      </c>
      <c r="X37" s="4">
        <v>14936</v>
      </c>
      <c r="Y37" s="4">
        <v>291471</v>
      </c>
      <c r="Z37" s="9"/>
      <c r="AA37" s="8">
        <f t="shared" si="0"/>
        <v>57970</v>
      </c>
      <c r="AB37" s="8">
        <f t="shared" si="1"/>
        <v>55484.888888888891</v>
      </c>
      <c r="AC37" s="8">
        <f t="shared" si="2"/>
        <v>12960.666666666666</v>
      </c>
      <c r="AD37" s="8"/>
      <c r="AE37" s="8"/>
      <c r="AF37" s="8"/>
    </row>
    <row r="38" spans="1:32" s="1" customFormat="1" x14ac:dyDescent="0.2">
      <c r="A38" s="1" t="s">
        <v>51</v>
      </c>
      <c r="B38" s="4">
        <v>133783</v>
      </c>
      <c r="C38" s="4">
        <v>135956</v>
      </c>
      <c r="D38" s="4">
        <v>276136</v>
      </c>
      <c r="E38" s="4">
        <v>60126</v>
      </c>
      <c r="F38" s="4">
        <v>42289</v>
      </c>
      <c r="G38" s="4">
        <v>0</v>
      </c>
      <c r="H38" s="4">
        <v>12888</v>
      </c>
      <c r="I38" s="4">
        <v>661178</v>
      </c>
      <c r="J38" s="4">
        <v>147445</v>
      </c>
      <c r="K38" s="4">
        <v>133194</v>
      </c>
      <c r="L38" s="4">
        <v>141617</v>
      </c>
      <c r="M38" s="4">
        <v>70982</v>
      </c>
      <c r="N38" s="4">
        <v>204440</v>
      </c>
      <c r="O38" s="4">
        <v>0</v>
      </c>
      <c r="P38" s="4">
        <v>26429</v>
      </c>
      <c r="Q38" s="4">
        <v>724107</v>
      </c>
      <c r="R38" s="4">
        <v>147367</v>
      </c>
      <c r="S38" s="4">
        <v>130148</v>
      </c>
      <c r="T38" s="4">
        <v>140513</v>
      </c>
      <c r="U38" s="4">
        <v>70936</v>
      </c>
      <c r="V38" s="4">
        <v>192224</v>
      </c>
      <c r="W38" s="4">
        <v>1149</v>
      </c>
      <c r="X38" s="4">
        <v>24920</v>
      </c>
      <c r="Y38" s="4">
        <v>707257</v>
      </c>
      <c r="Z38" s="9"/>
      <c r="AA38" s="8">
        <f>AVERAGE(B38:C38,J38:K38,R38:S38)</f>
        <v>137982.16666666666</v>
      </c>
      <c r="AB38" s="8">
        <f t="shared" si="1"/>
        <v>133251.44444444444</v>
      </c>
      <c r="AC38" s="8">
        <f t="shared" si="2"/>
        <v>21412.333333333332</v>
      </c>
      <c r="AD38" s="8"/>
      <c r="AE38" s="8"/>
      <c r="AF38" s="8"/>
    </row>
    <row r="39" spans="1:32" s="1" customFormat="1" x14ac:dyDescent="0.2">
      <c r="Z39" s="9"/>
      <c r="AA39" s="8"/>
      <c r="AB39" s="8"/>
      <c r="AC39" s="8"/>
      <c r="AD39" s="8"/>
      <c r="AE39" s="8"/>
      <c r="AF39" s="8"/>
    </row>
    <row r="40" spans="1:32" s="1" customFormat="1" x14ac:dyDescent="0.2">
      <c r="A40"/>
      <c r="B40"/>
      <c r="C40"/>
      <c r="D40"/>
    </row>
    <row r="41" spans="1:32" s="1" customFormat="1" x14ac:dyDescent="0.2">
      <c r="A41"/>
      <c r="B41"/>
      <c r="C41"/>
      <c r="D41"/>
    </row>
  </sheetData>
  <sortState xmlns:xlrd2="http://schemas.microsoft.com/office/spreadsheetml/2017/richdata2" ref="A3:Y38">
    <sortCondition ref="A2"/>
  </sortState>
  <mergeCells count="9">
    <mergeCell ref="R2:S2"/>
    <mergeCell ref="T2:V2"/>
    <mergeCell ref="R1:Y1"/>
    <mergeCell ref="B2:C2"/>
    <mergeCell ref="J2:K2"/>
    <mergeCell ref="L2:N2"/>
    <mergeCell ref="B1:I1"/>
    <mergeCell ref="J1:Q1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opLeftCell="I24" workbookViewId="0">
      <selection activeCell="Y3" sqref="Y3:Y38"/>
    </sheetView>
  </sheetViews>
  <sheetFormatPr defaultRowHeight="15" x14ac:dyDescent="0.2"/>
  <sheetData>
    <row r="1" spans="1:25" s="1" customForma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 t="s">
        <v>1</v>
      </c>
      <c r="K1" s="23"/>
      <c r="L1" s="23"/>
      <c r="M1" s="23"/>
      <c r="N1" s="23"/>
      <c r="O1" s="23"/>
      <c r="P1" s="23"/>
      <c r="Q1" s="23" t="s">
        <v>2</v>
      </c>
      <c r="R1" s="23"/>
      <c r="S1" s="23"/>
      <c r="T1" s="23"/>
      <c r="U1" s="23"/>
      <c r="V1" s="23"/>
      <c r="W1" s="23"/>
    </row>
    <row r="2" spans="1:25" s="1" customFormat="1" x14ac:dyDescent="0.2">
      <c r="A2" s="5"/>
      <c r="B2" s="5"/>
      <c r="C2" s="23" t="s">
        <v>52</v>
      </c>
      <c r="D2" s="23"/>
      <c r="E2" s="5"/>
      <c r="F2" s="5"/>
      <c r="G2" s="5"/>
      <c r="H2" s="5"/>
      <c r="I2" s="5"/>
      <c r="J2" s="23" t="s">
        <v>52</v>
      </c>
      <c r="K2" s="23"/>
      <c r="L2" s="5"/>
      <c r="M2" s="5"/>
      <c r="N2" s="5"/>
      <c r="O2" s="5"/>
      <c r="P2" s="5"/>
      <c r="Q2" s="23" t="s">
        <v>52</v>
      </c>
      <c r="R2" s="23"/>
      <c r="S2" s="5"/>
      <c r="T2" s="5"/>
      <c r="U2" s="5"/>
      <c r="V2" s="5"/>
      <c r="W2" s="5"/>
    </row>
    <row r="3" spans="1:25" s="1" customFormat="1" x14ac:dyDescent="0.2">
      <c r="A3" s="2" t="s">
        <v>53</v>
      </c>
      <c r="B3" s="3" t="s">
        <v>5</v>
      </c>
      <c r="C3" s="2" t="s">
        <v>54</v>
      </c>
      <c r="D3" s="1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54</v>
      </c>
      <c r="K3" s="1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54</v>
      </c>
      <c r="R3" s="1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Y3" s="1" t="s">
        <v>61</v>
      </c>
    </row>
    <row r="4" spans="1:25" s="1" customFormat="1" x14ac:dyDescent="0.2">
      <c r="A4" s="4">
        <v>1</v>
      </c>
      <c r="B4" s="1" t="s">
        <v>17</v>
      </c>
      <c r="C4" s="4">
        <v>12092</v>
      </c>
      <c r="D4" s="4">
        <v>8780</v>
      </c>
      <c r="E4" s="4">
        <v>3850</v>
      </c>
      <c r="F4" s="4">
        <v>525</v>
      </c>
      <c r="G4" s="4">
        <v>16467</v>
      </c>
      <c r="H4" s="4">
        <v>15255</v>
      </c>
      <c r="I4" s="4">
        <v>31723</v>
      </c>
      <c r="J4" s="4">
        <v>12153</v>
      </c>
      <c r="K4" s="4">
        <v>8653</v>
      </c>
      <c r="L4" s="4">
        <v>3548</v>
      </c>
      <c r="M4" s="4">
        <v>1514</v>
      </c>
      <c r="N4" s="4">
        <v>17215</v>
      </c>
      <c r="O4" s="4">
        <v>2240</v>
      </c>
      <c r="P4" s="4">
        <v>19455</v>
      </c>
      <c r="Q4" s="4">
        <v>9049</v>
      </c>
      <c r="R4" s="4">
        <v>6890</v>
      </c>
      <c r="S4" s="4">
        <v>2251</v>
      </c>
      <c r="T4" s="4">
        <v>2044</v>
      </c>
      <c r="U4" s="4">
        <v>13344</v>
      </c>
      <c r="V4" s="4">
        <v>1866</v>
      </c>
      <c r="W4" s="4">
        <v>15210</v>
      </c>
      <c r="Y4" s="1">
        <f>AVERAGE(G4,N4,U4)</f>
        <v>15675.333333333334</v>
      </c>
    </row>
    <row r="5" spans="1:25" s="1" customFormat="1" x14ac:dyDescent="0.2">
      <c r="A5" s="4">
        <v>2</v>
      </c>
      <c r="B5" s="1" t="s">
        <v>18</v>
      </c>
      <c r="C5" s="4">
        <v>3050</v>
      </c>
      <c r="D5" s="4">
        <v>1500</v>
      </c>
      <c r="E5" s="4">
        <v>1960</v>
      </c>
      <c r="F5" s="4">
        <v>370</v>
      </c>
      <c r="G5" s="4">
        <v>5380</v>
      </c>
      <c r="H5" s="4">
        <v>2470</v>
      </c>
      <c r="I5" s="4">
        <v>7850</v>
      </c>
      <c r="J5" s="4">
        <v>2700</v>
      </c>
      <c r="K5" s="4">
        <v>1500</v>
      </c>
      <c r="L5" s="4">
        <v>1300</v>
      </c>
      <c r="M5" s="4">
        <v>585</v>
      </c>
      <c r="N5" s="4">
        <v>4585</v>
      </c>
      <c r="O5" s="4">
        <v>900</v>
      </c>
      <c r="P5" s="4">
        <v>5485</v>
      </c>
      <c r="Q5" s="4">
        <v>1800</v>
      </c>
      <c r="R5" s="4">
        <v>1400</v>
      </c>
      <c r="S5" s="4">
        <v>1000</v>
      </c>
      <c r="T5" s="4">
        <v>850</v>
      </c>
      <c r="U5" s="4">
        <v>3650</v>
      </c>
      <c r="V5" s="4">
        <v>636</v>
      </c>
      <c r="W5" s="4">
        <v>4286</v>
      </c>
      <c r="Y5" s="1">
        <f t="shared" ref="Y5:Y38" si="0">AVERAGE(G5,N5,U5)</f>
        <v>4538.333333333333</v>
      </c>
    </row>
    <row r="6" spans="1:25" s="1" customFormat="1" x14ac:dyDescent="0.2">
      <c r="A6" s="4">
        <v>3</v>
      </c>
      <c r="B6" s="1" t="s">
        <v>19</v>
      </c>
      <c r="C6" s="4">
        <v>3500</v>
      </c>
      <c r="D6" s="4">
        <v>2100</v>
      </c>
      <c r="E6" s="4">
        <v>2750</v>
      </c>
      <c r="F6" s="4">
        <v>830</v>
      </c>
      <c r="G6" s="4">
        <v>7080</v>
      </c>
      <c r="H6" s="4">
        <v>3400</v>
      </c>
      <c r="I6" s="4">
        <v>10480</v>
      </c>
      <c r="J6" s="4">
        <v>3400</v>
      </c>
      <c r="K6" s="4">
        <v>2000</v>
      </c>
      <c r="L6" s="4">
        <v>1850</v>
      </c>
      <c r="M6" s="4">
        <v>980</v>
      </c>
      <c r="N6" s="4">
        <v>6230</v>
      </c>
      <c r="O6" s="4">
        <v>1200</v>
      </c>
      <c r="P6" s="4">
        <v>7430</v>
      </c>
      <c r="Q6" s="4">
        <v>2350</v>
      </c>
      <c r="R6" s="4">
        <v>1850</v>
      </c>
      <c r="S6" s="4">
        <v>1250</v>
      </c>
      <c r="T6" s="4">
        <v>1200</v>
      </c>
      <c r="U6" s="4">
        <v>4800</v>
      </c>
      <c r="V6" s="4">
        <v>707</v>
      </c>
      <c r="W6" s="4">
        <v>5507</v>
      </c>
      <c r="Y6" s="1">
        <f t="shared" si="0"/>
        <v>6036.666666666667</v>
      </c>
    </row>
    <row r="7" spans="1:25" s="1" customFormat="1" x14ac:dyDescent="0.2">
      <c r="A7" s="4">
        <v>4</v>
      </c>
      <c r="B7" s="1" t="s">
        <v>20</v>
      </c>
      <c r="C7" s="4">
        <v>3510</v>
      </c>
      <c r="D7" s="4">
        <v>2410</v>
      </c>
      <c r="E7" s="4">
        <v>2020</v>
      </c>
      <c r="F7" s="4">
        <v>1050</v>
      </c>
      <c r="G7" s="4">
        <v>6580</v>
      </c>
      <c r="H7" s="4">
        <v>1900</v>
      </c>
      <c r="I7" s="4">
        <v>8480</v>
      </c>
      <c r="J7" s="4">
        <v>3500</v>
      </c>
      <c r="K7" s="4">
        <v>2400</v>
      </c>
      <c r="L7" s="4">
        <v>1529</v>
      </c>
      <c r="M7" s="4">
        <v>718</v>
      </c>
      <c r="N7" s="4">
        <v>5747</v>
      </c>
      <c r="O7" s="4">
        <v>1800</v>
      </c>
      <c r="P7" s="4">
        <v>7547</v>
      </c>
      <c r="Q7" s="4">
        <v>2891</v>
      </c>
      <c r="R7" s="4">
        <v>2200</v>
      </c>
      <c r="S7" s="4">
        <v>1529</v>
      </c>
      <c r="T7" s="4">
        <v>657</v>
      </c>
      <c r="U7" s="4">
        <v>5077</v>
      </c>
      <c r="V7" s="4">
        <v>1000</v>
      </c>
      <c r="W7" s="4">
        <v>6077</v>
      </c>
      <c r="Y7" s="1">
        <f t="shared" si="0"/>
        <v>5801.333333333333</v>
      </c>
    </row>
    <row r="8" spans="1:25" s="1" customFormat="1" x14ac:dyDescent="0.2">
      <c r="A8" s="4">
        <v>5</v>
      </c>
      <c r="B8" s="1" t="s">
        <v>21</v>
      </c>
      <c r="C8" s="4">
        <v>1394</v>
      </c>
      <c r="D8" s="4">
        <v>875</v>
      </c>
      <c r="E8" s="4">
        <v>675</v>
      </c>
      <c r="F8" s="4">
        <v>305</v>
      </c>
      <c r="G8" s="4">
        <v>2374</v>
      </c>
      <c r="H8" s="4">
        <v>500</v>
      </c>
      <c r="I8" s="4">
        <v>2874</v>
      </c>
      <c r="J8" s="4">
        <v>1150</v>
      </c>
      <c r="K8" s="4">
        <v>2400</v>
      </c>
      <c r="L8" s="4">
        <v>450</v>
      </c>
      <c r="M8" s="4">
        <v>350</v>
      </c>
      <c r="N8" s="4">
        <v>1950</v>
      </c>
      <c r="O8" s="4">
        <v>425</v>
      </c>
      <c r="P8" s="4">
        <v>2375</v>
      </c>
      <c r="Q8" s="4">
        <v>997</v>
      </c>
      <c r="R8" s="4">
        <v>802</v>
      </c>
      <c r="S8" s="4">
        <v>415</v>
      </c>
      <c r="T8" s="4">
        <v>450</v>
      </c>
      <c r="U8" s="4">
        <v>1862</v>
      </c>
      <c r="V8" s="4">
        <v>285</v>
      </c>
      <c r="W8" s="4">
        <v>2147</v>
      </c>
      <c r="Y8" s="1">
        <f t="shared" si="0"/>
        <v>2062</v>
      </c>
    </row>
    <row r="9" spans="1:25" s="1" customFormat="1" x14ac:dyDescent="0.2">
      <c r="A9" s="4">
        <v>6</v>
      </c>
      <c r="B9" s="1" t="s">
        <v>22</v>
      </c>
      <c r="C9" s="4">
        <v>3900</v>
      </c>
      <c r="D9" s="4">
        <v>2200</v>
      </c>
      <c r="E9" s="4">
        <v>1350</v>
      </c>
      <c r="F9" s="4">
        <v>620</v>
      </c>
      <c r="G9" s="4">
        <v>5870</v>
      </c>
      <c r="H9" s="4">
        <v>4200</v>
      </c>
      <c r="I9" s="4">
        <v>10071</v>
      </c>
      <c r="J9" s="4">
        <v>3900</v>
      </c>
      <c r="K9" s="4">
        <v>850</v>
      </c>
      <c r="L9" s="4">
        <v>1100</v>
      </c>
      <c r="M9" s="4">
        <v>595</v>
      </c>
      <c r="N9" s="4">
        <v>5595</v>
      </c>
      <c r="O9" s="4">
        <v>1500</v>
      </c>
      <c r="P9" s="4">
        <v>7095</v>
      </c>
      <c r="Q9" s="4">
        <v>2700</v>
      </c>
      <c r="R9" s="4">
        <v>2000</v>
      </c>
      <c r="S9" s="4">
        <v>600</v>
      </c>
      <c r="T9" s="4">
        <v>795</v>
      </c>
      <c r="U9" s="4">
        <v>4095</v>
      </c>
      <c r="V9" s="4">
        <v>293</v>
      </c>
      <c r="W9" s="4">
        <v>4388</v>
      </c>
      <c r="Y9" s="1">
        <f t="shared" si="0"/>
        <v>5186.666666666667</v>
      </c>
    </row>
    <row r="10" spans="1:25" s="1" customFormat="1" x14ac:dyDescent="0.2">
      <c r="A10" s="4">
        <v>7</v>
      </c>
      <c r="B10" s="1" t="s">
        <v>23</v>
      </c>
      <c r="C10" s="4">
        <v>2375</v>
      </c>
      <c r="D10" s="4">
        <v>1375</v>
      </c>
      <c r="E10" s="4">
        <v>1800</v>
      </c>
      <c r="F10" s="4">
        <v>375</v>
      </c>
      <c r="G10" s="4">
        <v>4551</v>
      </c>
      <c r="H10" s="4">
        <v>3700</v>
      </c>
      <c r="I10" s="4">
        <v>8251</v>
      </c>
      <c r="J10" s="4">
        <v>2165</v>
      </c>
      <c r="K10" s="4">
        <v>2200</v>
      </c>
      <c r="L10" s="4">
        <v>1450</v>
      </c>
      <c r="M10" s="4">
        <v>525</v>
      </c>
      <c r="N10" s="4">
        <v>4140</v>
      </c>
      <c r="O10" s="4">
        <v>800</v>
      </c>
      <c r="P10" s="4">
        <v>4940</v>
      </c>
      <c r="Q10" s="4">
        <v>1690</v>
      </c>
      <c r="R10" s="4">
        <v>1290</v>
      </c>
      <c r="S10" s="4">
        <v>800</v>
      </c>
      <c r="T10" s="4">
        <v>575</v>
      </c>
      <c r="U10" s="4">
        <v>3065</v>
      </c>
      <c r="V10" s="4">
        <v>325</v>
      </c>
      <c r="W10" s="4">
        <v>3390</v>
      </c>
      <c r="Y10" s="1">
        <f t="shared" si="0"/>
        <v>3918.6666666666665</v>
      </c>
    </row>
    <row r="11" spans="1:25" s="1" customFormat="1" x14ac:dyDescent="0.2">
      <c r="A11" s="4">
        <v>8</v>
      </c>
      <c r="B11" s="1" t="s">
        <v>24</v>
      </c>
      <c r="C11" s="4">
        <v>4750</v>
      </c>
      <c r="D11" s="4">
        <v>2400</v>
      </c>
      <c r="E11" s="4">
        <v>7900</v>
      </c>
      <c r="F11" s="4">
        <v>1250</v>
      </c>
      <c r="G11" s="4">
        <v>13901</v>
      </c>
      <c r="H11" s="4">
        <v>14150</v>
      </c>
      <c r="I11" s="4">
        <v>28051</v>
      </c>
      <c r="J11" s="4">
        <v>5900</v>
      </c>
      <c r="K11" s="4">
        <v>1350</v>
      </c>
      <c r="L11" s="4">
        <v>5635</v>
      </c>
      <c r="M11" s="4">
        <v>1048</v>
      </c>
      <c r="N11" s="4">
        <v>12583</v>
      </c>
      <c r="O11" s="4">
        <v>11701</v>
      </c>
      <c r="P11" s="4">
        <v>24284</v>
      </c>
      <c r="Q11" s="4">
        <v>3080</v>
      </c>
      <c r="R11" s="4">
        <v>2100</v>
      </c>
      <c r="S11" s="4">
        <v>3175</v>
      </c>
      <c r="T11" s="4">
        <v>2550</v>
      </c>
      <c r="U11" s="4">
        <v>8805</v>
      </c>
      <c r="V11" s="4">
        <v>6533</v>
      </c>
      <c r="W11" s="4">
        <v>15338</v>
      </c>
      <c r="Y11" s="1">
        <f t="shared" si="0"/>
        <v>11763</v>
      </c>
    </row>
    <row r="12" spans="1:25" s="1" customFormat="1" x14ac:dyDescent="0.2">
      <c r="A12" s="4">
        <v>9</v>
      </c>
      <c r="B12" s="1" t="s">
        <v>25</v>
      </c>
      <c r="C12" s="4">
        <v>3054</v>
      </c>
      <c r="D12" s="4">
        <v>2202</v>
      </c>
      <c r="E12" s="4">
        <v>462</v>
      </c>
      <c r="F12" s="4">
        <v>317</v>
      </c>
      <c r="G12" s="4">
        <v>3833</v>
      </c>
      <c r="H12" s="4">
        <v>1315</v>
      </c>
      <c r="I12" s="4">
        <v>5148</v>
      </c>
      <c r="J12" s="4">
        <v>2685</v>
      </c>
      <c r="K12" s="4">
        <v>1250</v>
      </c>
      <c r="L12" s="4">
        <v>350</v>
      </c>
      <c r="M12" s="4">
        <v>307</v>
      </c>
      <c r="N12" s="4">
        <v>3343</v>
      </c>
      <c r="O12" s="4">
        <v>1125</v>
      </c>
      <c r="P12" s="4">
        <v>4468</v>
      </c>
      <c r="Q12" s="4">
        <v>2456</v>
      </c>
      <c r="R12" s="4">
        <v>1900</v>
      </c>
      <c r="S12" s="4">
        <v>308</v>
      </c>
      <c r="T12" s="4">
        <v>369</v>
      </c>
      <c r="U12" s="4">
        <v>3133</v>
      </c>
      <c r="V12" s="4">
        <v>512</v>
      </c>
      <c r="W12" s="4">
        <v>3645</v>
      </c>
      <c r="Y12" s="1">
        <f t="shared" si="0"/>
        <v>3436.3333333333335</v>
      </c>
    </row>
    <row r="13" spans="1:25" s="1" customFormat="1" x14ac:dyDescent="0.2">
      <c r="A13" s="4">
        <v>10</v>
      </c>
      <c r="B13" s="1" t="s">
        <v>26</v>
      </c>
      <c r="C13" s="4">
        <v>2350</v>
      </c>
      <c r="D13" s="4">
        <v>1250</v>
      </c>
      <c r="E13" s="4">
        <v>1477</v>
      </c>
      <c r="F13" s="4">
        <v>781</v>
      </c>
      <c r="G13" s="4">
        <v>4608</v>
      </c>
      <c r="H13" s="4">
        <v>2280</v>
      </c>
      <c r="I13" s="4">
        <v>6888</v>
      </c>
      <c r="J13" s="4">
        <v>2000</v>
      </c>
      <c r="K13" s="4">
        <v>375</v>
      </c>
      <c r="L13" s="4">
        <v>1400</v>
      </c>
      <c r="M13" s="4">
        <v>860</v>
      </c>
      <c r="N13" s="4">
        <v>4260</v>
      </c>
      <c r="O13" s="4">
        <v>1740</v>
      </c>
      <c r="P13" s="4">
        <v>6000</v>
      </c>
      <c r="Q13" s="4">
        <v>1390</v>
      </c>
      <c r="R13" s="4">
        <v>891</v>
      </c>
      <c r="S13" s="4">
        <v>500</v>
      </c>
      <c r="T13" s="4">
        <v>500</v>
      </c>
      <c r="U13" s="4">
        <v>2390</v>
      </c>
      <c r="V13" s="4">
        <v>361</v>
      </c>
      <c r="W13" s="4">
        <v>2751</v>
      </c>
      <c r="Y13" s="1">
        <f t="shared" si="0"/>
        <v>3752.6666666666665</v>
      </c>
    </row>
    <row r="14" spans="1:25" s="1" customFormat="1" x14ac:dyDescent="0.2">
      <c r="A14" s="4">
        <v>11</v>
      </c>
      <c r="B14" s="1" t="s">
        <v>27</v>
      </c>
      <c r="C14" s="4">
        <v>670</v>
      </c>
      <c r="D14" s="4">
        <v>385</v>
      </c>
      <c r="E14" s="4">
        <v>430</v>
      </c>
      <c r="F14" s="4">
        <v>164</v>
      </c>
      <c r="G14" s="4">
        <v>1264</v>
      </c>
      <c r="H14" s="4">
        <v>1000</v>
      </c>
      <c r="I14" s="4">
        <v>2264</v>
      </c>
      <c r="J14" s="4">
        <v>625</v>
      </c>
      <c r="K14" s="4">
        <v>750</v>
      </c>
      <c r="L14" s="4">
        <v>400</v>
      </c>
      <c r="M14" s="4">
        <v>150</v>
      </c>
      <c r="N14" s="4">
        <v>1175</v>
      </c>
      <c r="O14" s="4">
        <v>500</v>
      </c>
      <c r="P14" s="4">
        <v>1675</v>
      </c>
      <c r="Q14" s="4">
        <v>523</v>
      </c>
      <c r="R14" s="4">
        <v>373</v>
      </c>
      <c r="S14" s="4">
        <v>350</v>
      </c>
      <c r="T14" s="4">
        <v>100</v>
      </c>
      <c r="U14" s="4">
        <v>973</v>
      </c>
      <c r="V14" s="4">
        <v>350</v>
      </c>
      <c r="W14" s="4">
        <v>1323</v>
      </c>
      <c r="Y14" s="1">
        <f t="shared" si="0"/>
        <v>1137.3333333333333</v>
      </c>
    </row>
    <row r="15" spans="1:25" s="1" customFormat="1" x14ac:dyDescent="0.2">
      <c r="A15" s="4">
        <v>12</v>
      </c>
      <c r="B15" s="1" t="s">
        <v>28</v>
      </c>
      <c r="C15" s="4">
        <v>1502</v>
      </c>
      <c r="D15" s="4">
        <v>750</v>
      </c>
      <c r="E15" s="4">
        <v>900</v>
      </c>
      <c r="F15" s="4">
        <v>330</v>
      </c>
      <c r="G15" s="4">
        <v>2732</v>
      </c>
      <c r="H15" s="4">
        <v>860</v>
      </c>
      <c r="I15" s="4">
        <v>3592</v>
      </c>
      <c r="J15" s="4">
        <v>1190</v>
      </c>
      <c r="K15" s="4">
        <v>1385</v>
      </c>
      <c r="L15" s="4">
        <v>796</v>
      </c>
      <c r="M15" s="4">
        <v>300</v>
      </c>
      <c r="N15" s="4">
        <v>2286</v>
      </c>
      <c r="O15" s="4">
        <v>416</v>
      </c>
      <c r="P15" s="4">
        <v>2702</v>
      </c>
      <c r="Q15" s="4">
        <v>851</v>
      </c>
      <c r="R15" s="4">
        <v>521</v>
      </c>
      <c r="S15" s="4">
        <v>715</v>
      </c>
      <c r="T15" s="4">
        <v>250</v>
      </c>
      <c r="U15" s="4">
        <v>1816</v>
      </c>
      <c r="V15" s="4">
        <v>320</v>
      </c>
      <c r="W15" s="4">
        <v>2136</v>
      </c>
      <c r="Y15" s="1">
        <f t="shared" si="0"/>
        <v>2278</v>
      </c>
    </row>
    <row r="16" spans="1:25" s="1" customFormat="1" x14ac:dyDescent="0.2">
      <c r="A16" s="4">
        <v>13</v>
      </c>
      <c r="B16" s="1" t="s">
        <v>29</v>
      </c>
      <c r="C16" s="4">
        <v>2031</v>
      </c>
      <c r="D16" s="4">
        <v>1410</v>
      </c>
      <c r="E16" s="4">
        <v>551</v>
      </c>
      <c r="F16" s="4">
        <v>238</v>
      </c>
      <c r="G16" s="4">
        <v>2820</v>
      </c>
      <c r="H16" s="4">
        <v>735</v>
      </c>
      <c r="I16" s="4">
        <v>3555</v>
      </c>
      <c r="J16" s="4">
        <v>2115</v>
      </c>
      <c r="K16" s="4">
        <v>3015</v>
      </c>
      <c r="L16" s="4">
        <v>395</v>
      </c>
      <c r="M16" s="4">
        <v>277</v>
      </c>
      <c r="N16" s="4">
        <v>2788</v>
      </c>
      <c r="O16" s="4">
        <v>430</v>
      </c>
      <c r="P16" s="4">
        <v>3218</v>
      </c>
      <c r="Q16" s="4">
        <v>1462</v>
      </c>
      <c r="R16" s="4">
        <v>1212</v>
      </c>
      <c r="S16" s="4">
        <v>438</v>
      </c>
      <c r="T16" s="4">
        <v>315</v>
      </c>
      <c r="U16" s="4">
        <v>2215</v>
      </c>
      <c r="V16" s="4">
        <v>340</v>
      </c>
      <c r="W16" s="4">
        <v>2555</v>
      </c>
      <c r="Y16" s="1">
        <f t="shared" si="0"/>
        <v>2607.6666666666665</v>
      </c>
    </row>
    <row r="17" spans="1:25" s="1" customFormat="1" x14ac:dyDescent="0.2">
      <c r="A17" s="4">
        <v>14</v>
      </c>
      <c r="B17" s="1" t="s">
        <v>30</v>
      </c>
      <c r="C17" s="4">
        <v>7500</v>
      </c>
      <c r="D17" s="4">
        <v>4000</v>
      </c>
      <c r="E17" s="4">
        <v>3900</v>
      </c>
      <c r="F17" s="4">
        <v>700</v>
      </c>
      <c r="G17" s="4">
        <v>12100</v>
      </c>
      <c r="H17" s="4">
        <v>5000</v>
      </c>
      <c r="I17" s="4">
        <v>17100</v>
      </c>
      <c r="J17" s="4">
        <v>7061</v>
      </c>
      <c r="K17" s="4">
        <v>1800</v>
      </c>
      <c r="L17" s="4">
        <v>2614</v>
      </c>
      <c r="M17" s="4">
        <v>1333</v>
      </c>
      <c r="N17" s="4">
        <v>11008</v>
      </c>
      <c r="O17" s="4">
        <v>4786</v>
      </c>
      <c r="P17" s="4">
        <v>15794</v>
      </c>
      <c r="Q17" s="4">
        <v>4450</v>
      </c>
      <c r="R17" s="4">
        <v>2449</v>
      </c>
      <c r="S17" s="4">
        <v>2800</v>
      </c>
      <c r="T17" s="4">
        <v>500</v>
      </c>
      <c r="U17" s="4">
        <v>7750</v>
      </c>
      <c r="V17" s="4">
        <v>1200</v>
      </c>
      <c r="W17" s="4">
        <v>8950</v>
      </c>
      <c r="Y17" s="1">
        <f t="shared" si="0"/>
        <v>10286</v>
      </c>
    </row>
    <row r="18" spans="1:25" s="1" customFormat="1" x14ac:dyDescent="0.2">
      <c r="A18" s="4">
        <v>15</v>
      </c>
      <c r="B18" s="1" t="s">
        <v>31</v>
      </c>
      <c r="C18" s="4">
        <v>2770</v>
      </c>
      <c r="D18" s="4">
        <v>1820</v>
      </c>
      <c r="E18" s="4">
        <v>1200</v>
      </c>
      <c r="F18" s="4">
        <v>300</v>
      </c>
      <c r="G18" s="4">
        <v>4270</v>
      </c>
      <c r="H18" s="4">
        <v>2200</v>
      </c>
      <c r="I18" s="4">
        <v>6470</v>
      </c>
      <c r="J18" s="4">
        <v>2700</v>
      </c>
      <c r="K18" s="4">
        <v>3850</v>
      </c>
      <c r="L18" s="4">
        <v>1100</v>
      </c>
      <c r="M18" s="4">
        <v>300</v>
      </c>
      <c r="N18" s="4">
        <v>4100</v>
      </c>
      <c r="O18" s="4">
        <v>1500</v>
      </c>
      <c r="P18" s="4">
        <v>5600</v>
      </c>
      <c r="Q18" s="4">
        <v>2100</v>
      </c>
      <c r="R18" s="4">
        <v>1700</v>
      </c>
      <c r="S18" s="4">
        <v>750</v>
      </c>
      <c r="T18" s="4">
        <v>300</v>
      </c>
      <c r="U18" s="4">
        <v>3150</v>
      </c>
      <c r="V18" s="4">
        <v>250</v>
      </c>
      <c r="W18" s="4">
        <v>3400</v>
      </c>
      <c r="Y18" s="1">
        <f t="shared" si="0"/>
        <v>3840</v>
      </c>
    </row>
    <row r="19" spans="1:25" s="1" customFormat="1" x14ac:dyDescent="0.2">
      <c r="A19" s="4">
        <v>16</v>
      </c>
      <c r="B19" s="1" t="s">
        <v>32</v>
      </c>
      <c r="C19" s="4">
        <v>6400</v>
      </c>
      <c r="D19" s="4">
        <v>3600</v>
      </c>
      <c r="E19" s="4">
        <v>9800</v>
      </c>
      <c r="F19" s="4">
        <v>1300</v>
      </c>
      <c r="G19" s="4">
        <v>17500</v>
      </c>
      <c r="H19" s="4">
        <v>16800</v>
      </c>
      <c r="I19" s="4">
        <v>34300</v>
      </c>
      <c r="J19" s="4">
        <v>6250</v>
      </c>
      <c r="K19" s="4">
        <v>2800</v>
      </c>
      <c r="L19" s="4">
        <v>5345</v>
      </c>
      <c r="M19" s="4">
        <v>1475</v>
      </c>
      <c r="N19" s="4">
        <v>13070</v>
      </c>
      <c r="O19" s="4">
        <v>8530</v>
      </c>
      <c r="P19" s="4">
        <v>21600</v>
      </c>
      <c r="Q19" s="4">
        <v>4880</v>
      </c>
      <c r="R19" s="4">
        <v>3000</v>
      </c>
      <c r="S19" s="4">
        <v>4300</v>
      </c>
      <c r="T19" s="4">
        <v>1600</v>
      </c>
      <c r="U19" s="4">
        <v>10780</v>
      </c>
      <c r="V19" s="4">
        <v>7200</v>
      </c>
      <c r="W19" s="4">
        <v>17980</v>
      </c>
      <c r="Y19" s="1">
        <f t="shared" si="0"/>
        <v>13783.333333333334</v>
      </c>
    </row>
    <row r="20" spans="1:25" s="1" customFormat="1" x14ac:dyDescent="0.2">
      <c r="A20" s="4">
        <v>17</v>
      </c>
      <c r="B20" s="1" t="s">
        <v>33</v>
      </c>
      <c r="C20" s="4">
        <v>4925</v>
      </c>
      <c r="D20" s="4">
        <v>3000</v>
      </c>
      <c r="E20" s="4">
        <v>2600</v>
      </c>
      <c r="F20" s="4">
        <v>700</v>
      </c>
      <c r="G20" s="4">
        <v>8225</v>
      </c>
      <c r="H20" s="4">
        <v>3630</v>
      </c>
      <c r="I20" s="4">
        <v>11855</v>
      </c>
      <c r="J20" s="4">
        <v>4700</v>
      </c>
      <c r="K20" s="4">
        <v>100</v>
      </c>
      <c r="L20" s="4">
        <v>2561</v>
      </c>
      <c r="M20" s="4">
        <v>657</v>
      </c>
      <c r="N20" s="4">
        <v>7918</v>
      </c>
      <c r="O20" s="4">
        <v>3000</v>
      </c>
      <c r="P20" s="4">
        <v>10918</v>
      </c>
      <c r="Q20" s="4">
        <v>3414</v>
      </c>
      <c r="R20" s="4">
        <v>2211</v>
      </c>
      <c r="S20" s="4">
        <v>2329</v>
      </c>
      <c r="T20" s="4">
        <v>598</v>
      </c>
      <c r="U20" s="4">
        <v>6341</v>
      </c>
      <c r="V20" s="4">
        <v>710</v>
      </c>
      <c r="W20" s="4">
        <v>7051</v>
      </c>
      <c r="Y20" s="1">
        <f t="shared" si="0"/>
        <v>7494.666666666667</v>
      </c>
    </row>
    <row r="21" spans="1:25" s="1" customFormat="1" x14ac:dyDescent="0.2">
      <c r="A21" s="4">
        <v>18</v>
      </c>
      <c r="B21" s="1" t="s">
        <v>62</v>
      </c>
      <c r="C21" s="4">
        <v>22174</v>
      </c>
      <c r="D21" s="4">
        <v>100</v>
      </c>
      <c r="E21" s="4">
        <v>164997</v>
      </c>
      <c r="F21" s="4">
        <v>47855</v>
      </c>
      <c r="G21" s="4">
        <v>235026</v>
      </c>
      <c r="H21" s="4">
        <v>2490000</v>
      </c>
      <c r="I21" s="4">
        <v>2725026</v>
      </c>
      <c r="J21" s="4">
        <v>20000</v>
      </c>
      <c r="K21" s="4">
        <v>100</v>
      </c>
      <c r="L21" s="4">
        <v>175000</v>
      </c>
      <c r="M21" s="4">
        <v>45000</v>
      </c>
      <c r="N21" s="4">
        <v>240000</v>
      </c>
      <c r="O21" s="4">
        <v>2059651</v>
      </c>
      <c r="P21" s="4">
        <v>2299651</v>
      </c>
      <c r="Q21" s="4">
        <v>20240</v>
      </c>
      <c r="R21" s="4">
        <v>88</v>
      </c>
      <c r="S21" s="4">
        <v>125335</v>
      </c>
      <c r="T21" s="4">
        <v>37936</v>
      </c>
      <c r="U21" s="4">
        <v>183512</v>
      </c>
      <c r="V21" s="4">
        <v>1587767</v>
      </c>
      <c r="W21" s="4">
        <v>1771279</v>
      </c>
      <c r="Y21" s="1">
        <f t="shared" si="0"/>
        <v>219512.66666666666</v>
      </c>
    </row>
    <row r="22" spans="1:25" s="1" customFormat="1" x14ac:dyDescent="0.2">
      <c r="A22" s="4">
        <v>19</v>
      </c>
      <c r="B22" s="1" t="s">
        <v>35</v>
      </c>
      <c r="C22" s="4">
        <v>6900</v>
      </c>
      <c r="D22" s="4">
        <v>1900</v>
      </c>
      <c r="E22" s="4">
        <v>19900</v>
      </c>
      <c r="F22" s="4">
        <v>1330</v>
      </c>
      <c r="G22" s="4">
        <v>28130</v>
      </c>
      <c r="H22" s="4">
        <v>25000</v>
      </c>
      <c r="I22" s="4">
        <v>53131</v>
      </c>
      <c r="J22" s="4">
        <v>6350</v>
      </c>
      <c r="K22" s="4">
        <v>2450</v>
      </c>
      <c r="L22" s="4">
        <v>10000</v>
      </c>
      <c r="M22" s="4">
        <v>1300</v>
      </c>
      <c r="N22" s="4">
        <v>17650</v>
      </c>
      <c r="O22" s="4">
        <v>23000</v>
      </c>
      <c r="P22" s="4">
        <v>40649</v>
      </c>
      <c r="Q22" s="4">
        <v>3306</v>
      </c>
      <c r="R22" s="4">
        <v>2056</v>
      </c>
      <c r="S22" s="4">
        <v>3800</v>
      </c>
      <c r="T22" s="4">
        <v>1145</v>
      </c>
      <c r="U22" s="4">
        <v>8251</v>
      </c>
      <c r="V22" s="4">
        <v>8485</v>
      </c>
      <c r="W22" s="4">
        <v>16736</v>
      </c>
      <c r="Y22" s="1">
        <f t="shared" si="0"/>
        <v>18010.333333333332</v>
      </c>
    </row>
    <row r="23" spans="1:25" s="1" customFormat="1" x14ac:dyDescent="0.2">
      <c r="A23" s="4">
        <v>20</v>
      </c>
      <c r="B23" s="1" t="s">
        <v>36</v>
      </c>
      <c r="C23" s="4">
        <v>3711</v>
      </c>
      <c r="D23" s="4">
        <v>2511</v>
      </c>
      <c r="E23" s="4">
        <v>1650</v>
      </c>
      <c r="F23" s="4">
        <v>1399</v>
      </c>
      <c r="G23" s="4">
        <v>6760</v>
      </c>
      <c r="H23" s="4">
        <v>3340</v>
      </c>
      <c r="I23" s="4">
        <v>10100</v>
      </c>
      <c r="J23" s="4">
        <v>3650</v>
      </c>
      <c r="K23" s="4">
        <v>900</v>
      </c>
      <c r="L23" s="4">
        <v>1650</v>
      </c>
      <c r="M23" s="4">
        <v>900</v>
      </c>
      <c r="N23" s="4">
        <v>6200</v>
      </c>
      <c r="O23" s="4">
        <v>2450</v>
      </c>
      <c r="P23" s="4">
        <v>8650</v>
      </c>
      <c r="Q23" s="4">
        <v>2786</v>
      </c>
      <c r="R23" s="4">
        <v>2145</v>
      </c>
      <c r="S23" s="4">
        <v>1568</v>
      </c>
      <c r="T23" s="4">
        <v>890</v>
      </c>
      <c r="U23" s="4">
        <v>5244</v>
      </c>
      <c r="V23" s="4">
        <v>2200</v>
      </c>
      <c r="W23" s="4">
        <v>7444</v>
      </c>
      <c r="Y23" s="1">
        <f t="shared" si="0"/>
        <v>6068</v>
      </c>
    </row>
    <row r="24" spans="1:25" s="1" customFormat="1" x14ac:dyDescent="0.2">
      <c r="A24" s="4">
        <v>21</v>
      </c>
      <c r="B24" s="1" t="s">
        <v>37</v>
      </c>
      <c r="C24" s="4">
        <v>1441</v>
      </c>
      <c r="D24" s="4">
        <v>900</v>
      </c>
      <c r="E24" s="4">
        <v>360</v>
      </c>
      <c r="F24" s="4">
        <v>297</v>
      </c>
      <c r="G24" s="4">
        <v>2098</v>
      </c>
      <c r="H24" s="4">
        <v>1040</v>
      </c>
      <c r="I24" s="4">
        <v>3138</v>
      </c>
      <c r="J24" s="4">
        <v>1441</v>
      </c>
      <c r="K24" s="4">
        <v>4199</v>
      </c>
      <c r="L24" s="4">
        <v>297</v>
      </c>
      <c r="M24" s="4">
        <v>320</v>
      </c>
      <c r="N24" s="4">
        <v>2057</v>
      </c>
      <c r="O24" s="4">
        <v>800</v>
      </c>
      <c r="P24" s="4">
        <v>2857</v>
      </c>
      <c r="Q24" s="4">
        <v>1269</v>
      </c>
      <c r="R24" s="4">
        <v>754</v>
      </c>
      <c r="S24" s="4">
        <v>223</v>
      </c>
      <c r="T24" s="4">
        <v>320</v>
      </c>
      <c r="U24" s="4">
        <v>1811</v>
      </c>
      <c r="V24" s="4">
        <v>92</v>
      </c>
      <c r="W24" s="4">
        <v>1903</v>
      </c>
      <c r="Y24" s="1">
        <f t="shared" si="0"/>
        <v>1988.6666666666667</v>
      </c>
    </row>
    <row r="25" spans="1:25" s="1" customFormat="1" x14ac:dyDescent="0.2">
      <c r="A25" s="4">
        <v>22</v>
      </c>
      <c r="B25" s="1" t="s">
        <v>38</v>
      </c>
      <c r="C25" s="4">
        <v>9362</v>
      </c>
      <c r="D25" s="4">
        <v>4300</v>
      </c>
      <c r="E25" s="4">
        <v>13100</v>
      </c>
      <c r="F25" s="4">
        <v>2901</v>
      </c>
      <c r="G25" s="4">
        <v>25363</v>
      </c>
      <c r="H25" s="4">
        <v>17598</v>
      </c>
      <c r="I25" s="4">
        <v>42961</v>
      </c>
      <c r="J25" s="4">
        <v>8899</v>
      </c>
      <c r="K25" s="4">
        <v>2002</v>
      </c>
      <c r="L25" s="4">
        <v>6100</v>
      </c>
      <c r="M25" s="4">
        <v>2900</v>
      </c>
      <c r="N25" s="4">
        <v>17900</v>
      </c>
      <c r="O25" s="4">
        <v>14000</v>
      </c>
      <c r="P25" s="4">
        <v>31900</v>
      </c>
      <c r="Q25" s="4">
        <v>6597</v>
      </c>
      <c r="R25" s="4">
        <v>4016</v>
      </c>
      <c r="S25" s="4">
        <v>6523</v>
      </c>
      <c r="T25" s="4">
        <v>4325</v>
      </c>
      <c r="U25" s="4">
        <v>17445</v>
      </c>
      <c r="V25" s="4">
        <v>8757</v>
      </c>
      <c r="W25" s="4">
        <v>26202</v>
      </c>
      <c r="Y25" s="1">
        <f t="shared" si="0"/>
        <v>20236</v>
      </c>
    </row>
    <row r="26" spans="1:25" s="1" customFormat="1" x14ac:dyDescent="0.2">
      <c r="A26" s="4">
        <v>23</v>
      </c>
      <c r="B26" s="1" t="s">
        <v>39</v>
      </c>
      <c r="C26" s="4">
        <v>875</v>
      </c>
      <c r="D26" s="4">
        <v>350</v>
      </c>
      <c r="E26" s="4">
        <v>3670</v>
      </c>
      <c r="F26" s="4">
        <v>1590</v>
      </c>
      <c r="G26" s="4">
        <v>6135</v>
      </c>
      <c r="H26" s="4">
        <v>7150</v>
      </c>
      <c r="I26" s="4">
        <v>13285</v>
      </c>
      <c r="J26" s="4">
        <v>850</v>
      </c>
      <c r="K26" s="4">
        <v>350</v>
      </c>
      <c r="L26" s="4">
        <v>2000</v>
      </c>
      <c r="M26" s="4">
        <v>1300</v>
      </c>
      <c r="N26" s="4">
        <v>4150</v>
      </c>
      <c r="O26" s="4">
        <v>5000</v>
      </c>
      <c r="P26" s="4">
        <v>9150</v>
      </c>
      <c r="Q26" s="4">
        <v>784</v>
      </c>
      <c r="R26" s="4">
        <v>359</v>
      </c>
      <c r="S26" s="4">
        <v>1398</v>
      </c>
      <c r="T26" s="4">
        <v>1149</v>
      </c>
      <c r="U26" s="4">
        <v>3331</v>
      </c>
      <c r="V26" s="4">
        <v>3524</v>
      </c>
      <c r="W26" s="4">
        <v>6855</v>
      </c>
      <c r="Y26" s="1">
        <f t="shared" si="0"/>
        <v>4538.666666666667</v>
      </c>
    </row>
    <row r="27" spans="1:25" s="1" customFormat="1" x14ac:dyDescent="0.2">
      <c r="A27" s="4">
        <v>24</v>
      </c>
      <c r="B27" s="1" t="s">
        <v>40</v>
      </c>
      <c r="C27" s="4">
        <v>3779</v>
      </c>
      <c r="D27" s="4">
        <v>2253</v>
      </c>
      <c r="E27" s="4">
        <v>872</v>
      </c>
      <c r="F27" s="4">
        <v>382</v>
      </c>
      <c r="G27" s="4">
        <v>5033</v>
      </c>
      <c r="H27" s="4">
        <v>1380</v>
      </c>
      <c r="I27" s="4">
        <v>6413</v>
      </c>
      <c r="J27" s="4">
        <v>3655</v>
      </c>
      <c r="K27" s="4">
        <v>2129</v>
      </c>
      <c r="L27" s="4">
        <v>854</v>
      </c>
      <c r="M27" s="4">
        <v>381</v>
      </c>
      <c r="N27" s="4">
        <v>4890</v>
      </c>
      <c r="O27" s="4">
        <v>1350</v>
      </c>
      <c r="P27" s="4">
        <v>6240</v>
      </c>
      <c r="Q27" s="4">
        <v>3055</v>
      </c>
      <c r="R27" s="4">
        <v>1829</v>
      </c>
      <c r="S27" s="4">
        <v>1409</v>
      </c>
      <c r="T27" s="4">
        <v>362</v>
      </c>
      <c r="U27" s="4">
        <v>4826</v>
      </c>
      <c r="V27" s="4">
        <v>209</v>
      </c>
      <c r="W27" s="4">
        <v>5035</v>
      </c>
      <c r="Y27" s="1">
        <f t="shared" si="0"/>
        <v>4916.333333333333</v>
      </c>
    </row>
    <row r="28" spans="1:25" s="1" customFormat="1" x14ac:dyDescent="0.2">
      <c r="A28" s="4">
        <v>25</v>
      </c>
      <c r="B28" s="1" t="s">
        <v>41</v>
      </c>
      <c r="C28" s="4">
        <v>16100</v>
      </c>
      <c r="D28" s="4">
        <v>6370</v>
      </c>
      <c r="E28" s="4">
        <v>52000</v>
      </c>
      <c r="F28" s="4">
        <v>7500</v>
      </c>
      <c r="G28" s="4">
        <v>75600</v>
      </c>
      <c r="H28" s="4">
        <v>226000</v>
      </c>
      <c r="I28" s="4">
        <v>301600</v>
      </c>
      <c r="J28" s="4">
        <v>15500</v>
      </c>
      <c r="K28" s="4">
        <v>5500</v>
      </c>
      <c r="L28" s="4">
        <v>32000</v>
      </c>
      <c r="M28" s="4">
        <v>9500</v>
      </c>
      <c r="N28" s="4">
        <v>57000</v>
      </c>
      <c r="O28" s="4">
        <v>170315</v>
      </c>
      <c r="P28" s="4">
        <v>227315</v>
      </c>
      <c r="Q28" s="4">
        <v>8965</v>
      </c>
      <c r="R28" s="4">
        <v>4000</v>
      </c>
      <c r="S28" s="4">
        <v>28513</v>
      </c>
      <c r="T28" s="4">
        <v>7215</v>
      </c>
      <c r="U28" s="4">
        <v>44693</v>
      </c>
      <c r="V28" s="4">
        <v>73023</v>
      </c>
      <c r="W28" s="4">
        <v>117716</v>
      </c>
      <c r="Y28" s="1">
        <f t="shared" si="0"/>
        <v>59097.666666666664</v>
      </c>
    </row>
    <row r="29" spans="1:25" s="1" customFormat="1" x14ac:dyDescent="0.2">
      <c r="A29" s="4">
        <v>26</v>
      </c>
      <c r="B29" s="1" t="s">
        <v>42</v>
      </c>
      <c r="C29" s="4">
        <v>1750</v>
      </c>
      <c r="D29" s="4">
        <v>450</v>
      </c>
      <c r="E29" s="4">
        <v>5100</v>
      </c>
      <c r="F29" s="4">
        <v>1950</v>
      </c>
      <c r="G29" s="4">
        <v>8800</v>
      </c>
      <c r="H29" s="4">
        <v>38200</v>
      </c>
      <c r="I29" s="4">
        <v>47000</v>
      </c>
      <c r="J29" s="4">
        <v>1300</v>
      </c>
      <c r="K29" s="4">
        <v>450</v>
      </c>
      <c r="L29" s="4">
        <v>2750</v>
      </c>
      <c r="M29" s="4">
        <v>1600</v>
      </c>
      <c r="N29" s="4">
        <v>5650</v>
      </c>
      <c r="O29" s="4">
        <v>20000</v>
      </c>
      <c r="P29" s="4">
        <v>25650</v>
      </c>
      <c r="Q29" s="4">
        <v>770</v>
      </c>
      <c r="R29" s="4">
        <v>350</v>
      </c>
      <c r="S29" s="4">
        <v>2114</v>
      </c>
      <c r="T29" s="4">
        <v>1742</v>
      </c>
      <c r="U29" s="4">
        <v>4626</v>
      </c>
      <c r="V29" s="4">
        <v>2586</v>
      </c>
      <c r="W29" s="4">
        <v>7212</v>
      </c>
      <c r="Y29" s="1">
        <f t="shared" si="0"/>
        <v>6358.666666666667</v>
      </c>
    </row>
    <row r="30" spans="1:25" s="1" customFormat="1" x14ac:dyDescent="0.2">
      <c r="A30" s="4">
        <v>27</v>
      </c>
      <c r="B30" s="1" t="s">
        <v>43</v>
      </c>
      <c r="C30" s="4">
        <v>2319</v>
      </c>
      <c r="D30" s="4">
        <v>868</v>
      </c>
      <c r="E30" s="4">
        <v>1323</v>
      </c>
      <c r="F30" s="4">
        <v>499</v>
      </c>
      <c r="G30" s="4">
        <v>4141</v>
      </c>
      <c r="H30" s="4">
        <v>2311</v>
      </c>
      <c r="I30" s="4">
        <v>6453</v>
      </c>
      <c r="J30" s="4">
        <v>2150</v>
      </c>
      <c r="K30" s="4">
        <v>851</v>
      </c>
      <c r="L30" s="4">
        <v>1225</v>
      </c>
      <c r="M30" s="4">
        <v>398</v>
      </c>
      <c r="N30" s="4">
        <v>3773</v>
      </c>
      <c r="O30" s="4">
        <v>1456</v>
      </c>
      <c r="P30" s="4">
        <v>5229</v>
      </c>
      <c r="Q30" s="4">
        <v>1470</v>
      </c>
      <c r="R30" s="4">
        <v>801</v>
      </c>
      <c r="S30" s="4">
        <v>650</v>
      </c>
      <c r="T30" s="4">
        <v>1350</v>
      </c>
      <c r="U30" s="4">
        <v>3470</v>
      </c>
      <c r="V30" s="4">
        <v>280</v>
      </c>
      <c r="W30" s="4">
        <v>3750</v>
      </c>
      <c r="Y30" s="1">
        <f t="shared" si="0"/>
        <v>3794.6666666666665</v>
      </c>
    </row>
    <row r="31" spans="1:25" s="1" customFormat="1" x14ac:dyDescent="0.2">
      <c r="A31" s="4">
        <v>28</v>
      </c>
      <c r="B31" s="1" t="s">
        <v>44</v>
      </c>
      <c r="C31" s="4">
        <v>5650</v>
      </c>
      <c r="D31" s="4">
        <v>3150</v>
      </c>
      <c r="E31" s="4">
        <v>4680</v>
      </c>
      <c r="F31" s="4">
        <v>640</v>
      </c>
      <c r="G31" s="4">
        <v>10970</v>
      </c>
      <c r="H31" s="4">
        <v>10990</v>
      </c>
      <c r="I31" s="4">
        <v>21960</v>
      </c>
      <c r="J31" s="4">
        <v>5480</v>
      </c>
      <c r="K31" s="4">
        <v>3100</v>
      </c>
      <c r="L31" s="4">
        <v>1900</v>
      </c>
      <c r="M31" s="4">
        <v>586</v>
      </c>
      <c r="N31" s="4">
        <v>7966</v>
      </c>
      <c r="O31" s="4">
        <v>3000</v>
      </c>
      <c r="P31" s="4">
        <v>10966</v>
      </c>
      <c r="Q31" s="4">
        <v>4796</v>
      </c>
      <c r="R31" s="4">
        <v>2850</v>
      </c>
      <c r="S31" s="4">
        <v>1479</v>
      </c>
      <c r="T31" s="4">
        <v>590</v>
      </c>
      <c r="U31" s="4">
        <v>6865</v>
      </c>
      <c r="V31" s="4">
        <v>2255</v>
      </c>
      <c r="W31" s="4">
        <v>9120</v>
      </c>
      <c r="Y31" s="1">
        <f t="shared" si="0"/>
        <v>8600.3333333333339</v>
      </c>
    </row>
    <row r="32" spans="1:25" s="1" customFormat="1" x14ac:dyDescent="0.2">
      <c r="A32" s="4">
        <v>29</v>
      </c>
      <c r="B32" s="1" t="s">
        <v>45</v>
      </c>
      <c r="C32" s="4">
        <v>5800</v>
      </c>
      <c r="D32" s="4">
        <v>3600</v>
      </c>
      <c r="E32" s="4">
        <v>2660</v>
      </c>
      <c r="F32" s="4">
        <v>3060</v>
      </c>
      <c r="G32" s="4">
        <v>11520</v>
      </c>
      <c r="H32" s="4">
        <v>6700</v>
      </c>
      <c r="I32" s="4">
        <v>18220</v>
      </c>
      <c r="J32" s="4">
        <v>5700</v>
      </c>
      <c r="K32" s="4">
        <v>3600</v>
      </c>
      <c r="L32" s="4">
        <v>2200</v>
      </c>
      <c r="M32" s="4">
        <v>2100</v>
      </c>
      <c r="N32" s="4">
        <v>10000</v>
      </c>
      <c r="O32" s="4">
        <v>5500</v>
      </c>
      <c r="P32" s="4">
        <v>15500</v>
      </c>
      <c r="Q32" s="4">
        <v>4600</v>
      </c>
      <c r="R32" s="4">
        <v>2800</v>
      </c>
      <c r="S32" s="4">
        <v>1350</v>
      </c>
      <c r="T32" s="4">
        <v>2800</v>
      </c>
      <c r="U32" s="4">
        <v>8750</v>
      </c>
      <c r="V32" s="4">
        <v>1200</v>
      </c>
      <c r="W32" s="4">
        <v>9950</v>
      </c>
      <c r="Y32" s="1">
        <f t="shared" si="0"/>
        <v>10090</v>
      </c>
    </row>
    <row r="33" spans="1:25" s="1" customFormat="1" x14ac:dyDescent="0.2">
      <c r="A33" s="4">
        <v>30</v>
      </c>
      <c r="B33" s="1" t="s">
        <v>46</v>
      </c>
      <c r="C33" s="4">
        <v>1100</v>
      </c>
      <c r="D33" s="4">
        <v>600</v>
      </c>
      <c r="E33" s="4">
        <v>975</v>
      </c>
      <c r="F33" s="4">
        <v>400</v>
      </c>
      <c r="G33" s="4">
        <v>2475</v>
      </c>
      <c r="H33" s="4">
        <v>2575</v>
      </c>
      <c r="I33" s="4">
        <v>5050</v>
      </c>
      <c r="J33" s="4">
        <v>1100</v>
      </c>
      <c r="K33" s="4">
        <v>600</v>
      </c>
      <c r="L33" s="4">
        <v>880</v>
      </c>
      <c r="M33" s="4">
        <v>370</v>
      </c>
      <c r="N33" s="4">
        <v>2350</v>
      </c>
      <c r="O33" s="4">
        <v>1750</v>
      </c>
      <c r="P33" s="4">
        <v>4100</v>
      </c>
      <c r="Q33" s="4">
        <v>802</v>
      </c>
      <c r="R33" s="4">
        <v>402</v>
      </c>
      <c r="S33" s="4">
        <v>824</v>
      </c>
      <c r="T33" s="4">
        <v>280</v>
      </c>
      <c r="U33" s="4">
        <v>1906</v>
      </c>
      <c r="V33" s="4">
        <v>95</v>
      </c>
      <c r="W33" s="4">
        <v>2001</v>
      </c>
      <c r="Y33" s="1">
        <f t="shared" si="0"/>
        <v>2243.6666666666665</v>
      </c>
    </row>
    <row r="34" spans="1:25" s="1" customFormat="1" x14ac:dyDescent="0.2">
      <c r="A34" s="4">
        <v>31</v>
      </c>
      <c r="B34" s="1" t="s">
        <v>47</v>
      </c>
      <c r="C34" s="4">
        <v>8570</v>
      </c>
      <c r="D34" s="4">
        <v>4600</v>
      </c>
      <c r="E34" s="4">
        <v>3950</v>
      </c>
      <c r="F34" s="4">
        <v>1721</v>
      </c>
      <c r="G34" s="4">
        <v>14240</v>
      </c>
      <c r="H34" s="4">
        <v>6030</v>
      </c>
      <c r="I34" s="4">
        <v>20270</v>
      </c>
      <c r="J34" s="4">
        <v>7500</v>
      </c>
      <c r="K34" s="4">
        <v>4500</v>
      </c>
      <c r="L34" s="4">
        <v>2400</v>
      </c>
      <c r="M34" s="4">
        <v>900</v>
      </c>
      <c r="N34" s="4">
        <v>10800</v>
      </c>
      <c r="O34" s="4">
        <v>5000</v>
      </c>
      <c r="P34" s="4">
        <v>15800</v>
      </c>
      <c r="Q34" s="4">
        <v>5280</v>
      </c>
      <c r="R34" s="4">
        <v>3779</v>
      </c>
      <c r="S34" s="4">
        <v>2100</v>
      </c>
      <c r="T34" s="4">
        <v>700</v>
      </c>
      <c r="U34" s="4">
        <v>8080</v>
      </c>
      <c r="V34" s="4">
        <v>100</v>
      </c>
      <c r="W34" s="4">
        <v>8180</v>
      </c>
      <c r="Y34" s="1">
        <f t="shared" si="0"/>
        <v>11040</v>
      </c>
    </row>
    <row r="35" spans="1:25" s="1" customFormat="1" x14ac:dyDescent="0.2">
      <c r="A35" s="4">
        <v>32</v>
      </c>
      <c r="B35" s="1" t="s">
        <v>48</v>
      </c>
      <c r="C35" s="4">
        <v>4000</v>
      </c>
      <c r="D35" s="4">
        <v>450</v>
      </c>
      <c r="E35" s="4">
        <v>30000</v>
      </c>
      <c r="F35" s="4">
        <v>5500</v>
      </c>
      <c r="G35" s="4">
        <v>39500</v>
      </c>
      <c r="H35" s="4">
        <v>83500</v>
      </c>
      <c r="I35" s="4">
        <v>123000</v>
      </c>
      <c r="J35" s="4">
        <v>3149</v>
      </c>
      <c r="K35" s="4">
        <v>450</v>
      </c>
      <c r="L35" s="4">
        <v>16960</v>
      </c>
      <c r="M35" s="4">
        <v>4500</v>
      </c>
      <c r="N35" s="4">
        <v>24610</v>
      </c>
      <c r="O35" s="4">
        <v>64500</v>
      </c>
      <c r="P35" s="4">
        <v>89109</v>
      </c>
      <c r="Q35" s="4">
        <v>1167</v>
      </c>
      <c r="R35" s="4">
        <v>267</v>
      </c>
      <c r="S35" s="4">
        <v>15499</v>
      </c>
      <c r="T35" s="4">
        <v>3600</v>
      </c>
      <c r="U35" s="4">
        <v>20266</v>
      </c>
      <c r="V35" s="4">
        <v>40727</v>
      </c>
      <c r="W35" s="4">
        <v>60993</v>
      </c>
      <c r="Y35" s="1">
        <f t="shared" si="0"/>
        <v>28125.333333333332</v>
      </c>
    </row>
    <row r="36" spans="1:25" s="1" customFormat="1" x14ac:dyDescent="0.2">
      <c r="A36" s="4">
        <v>33</v>
      </c>
      <c r="B36" s="1" t="s">
        <v>49</v>
      </c>
      <c r="C36" s="4">
        <v>2200</v>
      </c>
      <c r="D36" s="4">
        <v>1100</v>
      </c>
      <c r="E36" s="4">
        <v>1450</v>
      </c>
      <c r="F36" s="4">
        <v>188</v>
      </c>
      <c r="G36" s="4">
        <v>3838</v>
      </c>
      <c r="H36" s="4">
        <v>1270</v>
      </c>
      <c r="I36" s="4">
        <v>5108</v>
      </c>
      <c r="J36" s="4">
        <v>2300</v>
      </c>
      <c r="K36" s="4">
        <v>1300</v>
      </c>
      <c r="L36" s="4">
        <v>850</v>
      </c>
      <c r="M36" s="4">
        <v>380</v>
      </c>
      <c r="N36" s="4">
        <v>3530</v>
      </c>
      <c r="O36" s="4">
        <v>535</v>
      </c>
      <c r="P36" s="4">
        <v>4065</v>
      </c>
      <c r="Q36" s="4">
        <v>1450</v>
      </c>
      <c r="R36" s="4">
        <v>1170</v>
      </c>
      <c r="S36" s="4">
        <v>550</v>
      </c>
      <c r="T36" s="4">
        <v>345</v>
      </c>
      <c r="U36" s="4">
        <v>2345</v>
      </c>
      <c r="V36" s="4">
        <v>525</v>
      </c>
      <c r="W36" s="4">
        <v>2870</v>
      </c>
      <c r="Y36" s="1">
        <f t="shared" si="0"/>
        <v>3237.6666666666665</v>
      </c>
    </row>
    <row r="37" spans="1:25" s="1" customFormat="1" x14ac:dyDescent="0.2">
      <c r="A37" s="4">
        <v>34</v>
      </c>
      <c r="B37" s="1" t="s">
        <v>50</v>
      </c>
      <c r="C37" s="4">
        <v>2235</v>
      </c>
      <c r="D37" s="4">
        <v>1600</v>
      </c>
      <c r="E37" s="4">
        <v>620</v>
      </c>
      <c r="F37" s="4">
        <v>348</v>
      </c>
      <c r="G37" s="4">
        <v>3203</v>
      </c>
      <c r="H37" s="4">
        <v>875</v>
      </c>
      <c r="I37" s="4">
        <v>4078</v>
      </c>
      <c r="J37" s="4">
        <v>2160</v>
      </c>
      <c r="K37" s="4">
        <v>1560</v>
      </c>
      <c r="L37" s="4">
        <v>362</v>
      </c>
      <c r="M37" s="4">
        <v>335</v>
      </c>
      <c r="N37" s="4">
        <v>2857</v>
      </c>
      <c r="O37" s="4">
        <v>800</v>
      </c>
      <c r="P37" s="4">
        <v>3657</v>
      </c>
      <c r="Q37" s="4">
        <v>1566</v>
      </c>
      <c r="R37" s="4">
        <v>1406</v>
      </c>
      <c r="S37" s="4">
        <v>130</v>
      </c>
      <c r="T37" s="4">
        <v>210</v>
      </c>
      <c r="U37" s="4">
        <v>1906</v>
      </c>
      <c r="V37" s="4">
        <v>100</v>
      </c>
      <c r="W37" s="4">
        <v>2006</v>
      </c>
      <c r="Y37" s="1">
        <f t="shared" si="0"/>
        <v>2655.3333333333335</v>
      </c>
    </row>
    <row r="38" spans="1:25" s="1" customFormat="1" x14ac:dyDescent="0.2">
      <c r="A38" s="4">
        <v>35</v>
      </c>
      <c r="B38" s="1" t="s">
        <v>51</v>
      </c>
      <c r="C38" s="4">
        <v>3600</v>
      </c>
      <c r="D38" s="4">
        <v>2400</v>
      </c>
      <c r="E38" s="4">
        <v>1372</v>
      </c>
      <c r="F38" s="4">
        <v>808</v>
      </c>
      <c r="G38" s="4">
        <v>5780</v>
      </c>
      <c r="H38" s="4">
        <v>2450</v>
      </c>
      <c r="I38" s="4">
        <v>8230</v>
      </c>
      <c r="J38" s="4">
        <v>3600</v>
      </c>
      <c r="K38" s="4">
        <v>2400</v>
      </c>
      <c r="L38" s="4">
        <v>1165</v>
      </c>
      <c r="M38" s="4">
        <v>760</v>
      </c>
      <c r="N38" s="4">
        <v>5525</v>
      </c>
      <c r="O38" s="4">
        <v>1500</v>
      </c>
      <c r="P38" s="4">
        <v>7025</v>
      </c>
      <c r="Q38" s="4">
        <v>2582</v>
      </c>
      <c r="R38" s="4">
        <v>2132</v>
      </c>
      <c r="S38" s="4">
        <v>600</v>
      </c>
      <c r="T38" s="4">
        <v>720</v>
      </c>
      <c r="U38" s="4">
        <v>3902</v>
      </c>
      <c r="V38" s="4">
        <v>455</v>
      </c>
      <c r="W38" s="4">
        <v>4358</v>
      </c>
      <c r="Y38" s="1">
        <f t="shared" si="0"/>
        <v>5069</v>
      </c>
    </row>
    <row r="39" spans="1:25" s="1" customFormat="1" x14ac:dyDescent="0.2"/>
  </sheetData>
  <sortState xmlns:xlrd2="http://schemas.microsoft.com/office/spreadsheetml/2017/richdata2" ref="A3:W36">
    <sortCondition ref="B2"/>
  </sortState>
  <mergeCells count="6">
    <mergeCell ref="C2:D2"/>
    <mergeCell ref="A1:I1"/>
    <mergeCell ref="J2:K2"/>
    <mergeCell ref="J1:P1"/>
    <mergeCell ref="Q1:W1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8"/>
  <sheetViews>
    <sheetView workbookViewId="0">
      <selection activeCell="AJ2" sqref="AJ2:AN37"/>
    </sheetView>
  </sheetViews>
  <sheetFormatPr defaultRowHeight="15" x14ac:dyDescent="0.2"/>
  <sheetData>
    <row r="1" spans="1:40" x14ac:dyDescent="0.2">
      <c r="A1" s="25" t="s">
        <v>63</v>
      </c>
      <c r="B1" s="25" t="s">
        <v>5</v>
      </c>
      <c r="C1" s="25" t="s">
        <v>64</v>
      </c>
      <c r="D1" s="25"/>
      <c r="E1" s="25" t="s">
        <v>65</v>
      </c>
      <c r="F1" s="25"/>
      <c r="G1" s="25" t="s">
        <v>66</v>
      </c>
      <c r="H1" s="25"/>
      <c r="I1" s="10"/>
      <c r="J1" s="25" t="s">
        <v>67</v>
      </c>
      <c r="K1" s="25"/>
      <c r="L1" s="25" t="s">
        <v>68</v>
      </c>
      <c r="M1" s="25"/>
      <c r="N1" s="25" t="s">
        <v>65</v>
      </c>
      <c r="O1" s="25"/>
      <c r="P1" s="25" t="s">
        <v>69</v>
      </c>
      <c r="Q1" s="25"/>
      <c r="R1" s="10"/>
      <c r="S1" s="24" t="s">
        <v>0</v>
      </c>
      <c r="T1" s="24"/>
      <c r="U1" s="24"/>
      <c r="V1" s="24"/>
      <c r="W1" s="26" t="s">
        <v>1</v>
      </c>
      <c r="X1" s="26"/>
      <c r="Y1" s="26"/>
      <c r="Z1" s="26"/>
      <c r="AA1" s="27" t="s">
        <v>2</v>
      </c>
      <c r="AB1" s="27"/>
      <c r="AC1" s="27"/>
      <c r="AD1" s="27"/>
      <c r="AE1" s="24" t="s">
        <v>70</v>
      </c>
      <c r="AF1" s="24"/>
      <c r="AG1" s="24"/>
      <c r="AH1" s="24"/>
    </row>
    <row r="2" spans="1:40" s="17" customFormat="1" x14ac:dyDescent="0.2">
      <c r="A2" s="25"/>
      <c r="B2" s="25"/>
      <c r="C2" s="16" t="s">
        <v>71</v>
      </c>
      <c r="D2" s="16" t="s">
        <v>72</v>
      </c>
      <c r="E2" s="16" t="s">
        <v>71</v>
      </c>
      <c r="F2" s="16" t="s">
        <v>72</v>
      </c>
      <c r="G2" s="16" t="s">
        <v>71</v>
      </c>
      <c r="H2" s="16" t="s">
        <v>72</v>
      </c>
      <c r="I2" s="16"/>
      <c r="J2" s="16" t="s">
        <v>73</v>
      </c>
      <c r="K2" s="16" t="s">
        <v>74</v>
      </c>
      <c r="L2" s="16" t="s">
        <v>73</v>
      </c>
      <c r="M2" s="20" t="s">
        <v>74</v>
      </c>
      <c r="N2" s="16" t="s">
        <v>73</v>
      </c>
      <c r="O2" s="15" t="s">
        <v>74</v>
      </c>
      <c r="P2" s="16" t="s">
        <v>73</v>
      </c>
      <c r="Q2" s="19" t="s">
        <v>74</v>
      </c>
      <c r="R2" s="16"/>
      <c r="S2" s="15" t="s">
        <v>75</v>
      </c>
      <c r="T2" s="15" t="s">
        <v>76</v>
      </c>
      <c r="U2" s="15" t="s">
        <v>77</v>
      </c>
      <c r="V2" s="15" t="s">
        <v>78</v>
      </c>
      <c r="W2" s="15" t="s">
        <v>75</v>
      </c>
      <c r="X2" s="15" t="s">
        <v>76</v>
      </c>
      <c r="Y2" s="15" t="s">
        <v>77</v>
      </c>
      <c r="Z2" s="17" t="s">
        <v>78</v>
      </c>
      <c r="AA2" s="18" t="s">
        <v>75</v>
      </c>
      <c r="AB2" s="18" t="s">
        <v>76</v>
      </c>
      <c r="AC2" s="18" t="s">
        <v>77</v>
      </c>
      <c r="AD2" s="18" t="s">
        <v>79</v>
      </c>
      <c r="AE2" s="18" t="s">
        <v>80</v>
      </c>
      <c r="AF2" s="18" t="s">
        <v>76</v>
      </c>
      <c r="AG2" s="18" t="s">
        <v>77</v>
      </c>
      <c r="AH2" s="18" t="s">
        <v>81</v>
      </c>
      <c r="AJ2" s="17" t="s">
        <v>82</v>
      </c>
      <c r="AK2" s="17" t="s">
        <v>83</v>
      </c>
      <c r="AL2" s="17" t="s">
        <v>84</v>
      </c>
      <c r="AM2" s="17" t="s">
        <v>85</v>
      </c>
      <c r="AN2" s="17" t="s">
        <v>86</v>
      </c>
    </row>
    <row r="3" spans="1:40" x14ac:dyDescent="0.2">
      <c r="A3" s="11">
        <v>1</v>
      </c>
      <c r="B3" s="12" t="s">
        <v>87</v>
      </c>
      <c r="C3" s="11">
        <v>38337.947200000002</v>
      </c>
      <c r="D3" s="11">
        <v>29916.142100000001</v>
      </c>
      <c r="E3" s="11">
        <v>34792.6132</v>
      </c>
      <c r="F3" s="11">
        <v>26214.4836</v>
      </c>
      <c r="G3" s="11">
        <v>28527.565299999998</v>
      </c>
      <c r="H3" s="11">
        <v>21483.222000000002</v>
      </c>
      <c r="I3" s="11"/>
      <c r="J3" s="13">
        <v>68134</v>
      </c>
      <c r="K3" s="11" t="s">
        <v>88</v>
      </c>
      <c r="L3" s="13">
        <v>73302</v>
      </c>
      <c r="M3">
        <v>211271</v>
      </c>
      <c r="N3" s="13">
        <v>78510</v>
      </c>
      <c r="O3">
        <v>235516</v>
      </c>
      <c r="P3" s="13">
        <v>83008</v>
      </c>
      <c r="Q3">
        <v>254483</v>
      </c>
      <c r="R3" s="11"/>
      <c r="S3">
        <v>1724326</v>
      </c>
      <c r="T3">
        <v>1285369</v>
      </c>
      <c r="U3">
        <v>116370</v>
      </c>
      <c r="V3">
        <v>926.32</v>
      </c>
      <c r="W3">
        <v>1691398</v>
      </c>
      <c r="X3">
        <v>1243343</v>
      </c>
      <c r="Y3">
        <v>110221</v>
      </c>
      <c r="Z3" s="5">
        <v>830.64</v>
      </c>
      <c r="AA3" s="5">
        <v>1691398</v>
      </c>
      <c r="AB3" s="5">
        <v>1243343</v>
      </c>
      <c r="AC3" s="5">
        <v>110221</v>
      </c>
      <c r="AD3" s="5">
        <v>830.64</v>
      </c>
      <c r="AE3" s="5">
        <v>1485758</v>
      </c>
      <c r="AF3" s="5">
        <v>1051263</v>
      </c>
      <c r="AG3" s="5">
        <v>137748</v>
      </c>
      <c r="AH3" s="5">
        <v>539</v>
      </c>
      <c r="AJ3">
        <f>AVERAGE(M3,O3,Q3)</f>
        <v>233756.66666666666</v>
      </c>
      <c r="AK3">
        <f>AVERAGE((D3/C3),(F3/E3),(H3/G3))</f>
        <v>0.76228191938345224</v>
      </c>
      <c r="AL3">
        <f>AVERAGE(V3,Z3,AD3)</f>
        <v>862.5333333333333</v>
      </c>
      <c r="AM3">
        <f>AVERAGE(S3,W3,AA3)</f>
        <v>1702374</v>
      </c>
      <c r="AN3">
        <f>(U3/S3)*100</f>
        <v>6.7487238492025288</v>
      </c>
    </row>
    <row r="4" spans="1:40" x14ac:dyDescent="0.2">
      <c r="A4" s="11">
        <v>3</v>
      </c>
      <c r="B4" s="12" t="s">
        <v>89</v>
      </c>
      <c r="C4" s="11">
        <v>13027.997300000001</v>
      </c>
      <c r="D4" s="11">
        <v>10268.0929</v>
      </c>
      <c r="E4" s="11">
        <v>13182.3614</v>
      </c>
      <c r="F4" s="11">
        <v>8909.8579000000009</v>
      </c>
      <c r="G4" s="11">
        <v>11614.360199999999</v>
      </c>
      <c r="H4" s="11">
        <v>7236.9314999999997</v>
      </c>
      <c r="I4" s="11"/>
      <c r="J4" s="13">
        <v>23225</v>
      </c>
      <c r="K4" s="11" t="s">
        <v>90</v>
      </c>
      <c r="L4" s="13">
        <v>25582</v>
      </c>
      <c r="M4">
        <v>181857</v>
      </c>
      <c r="N4" s="13">
        <v>27509</v>
      </c>
      <c r="O4">
        <v>199908</v>
      </c>
      <c r="P4" s="13">
        <v>28968</v>
      </c>
      <c r="Q4">
        <v>217009</v>
      </c>
      <c r="R4" s="11"/>
      <c r="S4">
        <v>649260</v>
      </c>
      <c r="T4">
        <v>432238</v>
      </c>
      <c r="U4">
        <v>43390</v>
      </c>
      <c r="V4">
        <v>215.59</v>
      </c>
      <c r="W4">
        <v>637685</v>
      </c>
      <c r="X4">
        <v>420141</v>
      </c>
      <c r="Y4">
        <v>37610</v>
      </c>
      <c r="Z4" s="5">
        <v>188.84</v>
      </c>
      <c r="AA4" s="5">
        <v>637685</v>
      </c>
      <c r="AB4" s="5">
        <v>420141</v>
      </c>
      <c r="AC4" s="5">
        <v>37610</v>
      </c>
      <c r="AD4" s="5">
        <v>188.84</v>
      </c>
      <c r="AE4" s="5">
        <v>537967</v>
      </c>
      <c r="AF4" s="5">
        <v>361242</v>
      </c>
      <c r="AG4" s="5">
        <v>47695</v>
      </c>
      <c r="AH4" s="5">
        <v>125</v>
      </c>
      <c r="AJ4">
        <f t="shared" ref="AJ4:AJ37" si="0">AVERAGE(M4,O4,Q4)</f>
        <v>199591.33333333334</v>
      </c>
      <c r="AK4">
        <f t="shared" ref="AK4:AK37" si="1">AVERAGE((D4/C4),(F4/E4),(H4/G4))</f>
        <v>0.69571677847203806</v>
      </c>
      <c r="AL4">
        <f t="shared" ref="AL4:AL37" si="2">AVERAGE(V4,Z4,AD4)</f>
        <v>197.75666666666666</v>
      </c>
      <c r="AM4">
        <f t="shared" ref="AM4:AM37" si="3">AVERAGE(S4,W4,AA4)</f>
        <v>641543.33333333337</v>
      </c>
      <c r="AN4">
        <f t="shared" ref="AN4:AN38" si="4">(U4/S4)*100</f>
        <v>6.6829929458152364</v>
      </c>
    </row>
    <row r="5" spans="1:40" x14ac:dyDescent="0.2">
      <c r="A5" s="11">
        <v>4</v>
      </c>
      <c r="B5" s="12" t="s">
        <v>91</v>
      </c>
      <c r="C5" s="11">
        <v>23783.5684</v>
      </c>
      <c r="D5" s="11">
        <v>17897.216700000001</v>
      </c>
      <c r="E5" s="11">
        <v>22071.5736</v>
      </c>
      <c r="F5" s="11">
        <v>15502.9566</v>
      </c>
      <c r="G5" s="11">
        <v>19416.808400000002</v>
      </c>
      <c r="H5" s="11">
        <v>12164.1122</v>
      </c>
      <c r="I5" s="11"/>
      <c r="J5" s="13">
        <v>35083</v>
      </c>
      <c r="K5" s="11" t="s">
        <v>92</v>
      </c>
      <c r="L5" s="13">
        <v>37444</v>
      </c>
      <c r="M5">
        <v>161041</v>
      </c>
      <c r="N5" s="13">
        <v>42872</v>
      </c>
      <c r="O5">
        <v>192910</v>
      </c>
      <c r="P5" s="13">
        <v>45636</v>
      </c>
      <c r="Q5">
        <v>212991</v>
      </c>
      <c r="R5" s="11"/>
      <c r="S5">
        <v>949798</v>
      </c>
      <c r="T5">
        <v>666969</v>
      </c>
      <c r="U5">
        <v>62590</v>
      </c>
      <c r="V5">
        <v>365.45</v>
      </c>
      <c r="W5">
        <v>930515</v>
      </c>
      <c r="X5">
        <v>643517</v>
      </c>
      <c r="Y5">
        <v>66383</v>
      </c>
      <c r="Z5" s="5">
        <v>329.43</v>
      </c>
      <c r="AA5" s="5">
        <v>930515</v>
      </c>
      <c r="AB5" s="5">
        <v>643517</v>
      </c>
      <c r="AC5" s="5">
        <v>66383</v>
      </c>
      <c r="AD5" s="5">
        <v>329.43</v>
      </c>
      <c r="AE5" s="5">
        <v>809929</v>
      </c>
      <c r="AF5" s="5">
        <v>540330</v>
      </c>
      <c r="AG5" s="5">
        <v>87706</v>
      </c>
      <c r="AH5" s="5">
        <v>229</v>
      </c>
      <c r="AJ5">
        <f t="shared" si="0"/>
        <v>188980.66666666666</v>
      </c>
      <c r="AK5">
        <f t="shared" si="1"/>
        <v>0.69379048240657781</v>
      </c>
      <c r="AL5">
        <f t="shared" si="2"/>
        <v>341.43666666666667</v>
      </c>
      <c r="AM5">
        <f t="shared" si="3"/>
        <v>936942.66666666663</v>
      </c>
      <c r="AN5">
        <f t="shared" si="4"/>
        <v>6.5898222569430551</v>
      </c>
    </row>
    <row r="6" spans="1:40" x14ac:dyDescent="0.2">
      <c r="A6" s="11">
        <v>5</v>
      </c>
      <c r="B6" s="12" t="s">
        <v>20</v>
      </c>
      <c r="C6" s="11">
        <v>14729.129199999999</v>
      </c>
      <c r="D6" s="11">
        <v>11092.872600000001</v>
      </c>
      <c r="E6" s="11">
        <v>13745.576300000001</v>
      </c>
      <c r="F6" s="11">
        <v>9686.8428000000004</v>
      </c>
      <c r="G6" s="11">
        <v>11233.3042</v>
      </c>
      <c r="H6" s="11">
        <v>8252.3711000000003</v>
      </c>
      <c r="I6" s="11"/>
      <c r="J6" s="13">
        <v>26183</v>
      </c>
      <c r="K6" s="11" t="s">
        <v>93</v>
      </c>
      <c r="L6" s="13">
        <v>30905</v>
      </c>
      <c r="M6">
        <v>160951</v>
      </c>
      <c r="N6" s="13">
        <v>33590</v>
      </c>
      <c r="O6">
        <v>178254</v>
      </c>
      <c r="P6" s="13">
        <v>35691</v>
      </c>
      <c r="Q6">
        <v>198192</v>
      </c>
      <c r="R6" s="11"/>
      <c r="S6">
        <v>1277493</v>
      </c>
      <c r="T6">
        <v>834489</v>
      </c>
      <c r="U6">
        <v>104031</v>
      </c>
      <c r="V6">
        <v>760.39</v>
      </c>
      <c r="W6">
        <v>1268982</v>
      </c>
      <c r="X6">
        <v>825765</v>
      </c>
      <c r="Y6">
        <v>107828</v>
      </c>
      <c r="Z6" s="5">
        <v>638.24</v>
      </c>
      <c r="AA6" s="5">
        <v>1268982</v>
      </c>
      <c r="AB6" s="5">
        <v>825765</v>
      </c>
      <c r="AC6" s="5">
        <v>107828</v>
      </c>
      <c r="AD6" s="5">
        <v>638.24</v>
      </c>
      <c r="AE6" s="5">
        <v>1356782</v>
      </c>
      <c r="AF6" s="5">
        <v>843768</v>
      </c>
      <c r="AG6" s="5">
        <v>181401</v>
      </c>
      <c r="AH6" s="5">
        <v>389</v>
      </c>
      <c r="AJ6">
        <f t="shared" si="0"/>
        <v>179132.33333333334</v>
      </c>
      <c r="AK6">
        <f t="shared" si="1"/>
        <v>0.73082784667068357</v>
      </c>
      <c r="AL6">
        <f t="shared" si="2"/>
        <v>678.95666666666671</v>
      </c>
      <c r="AM6">
        <f t="shared" si="3"/>
        <v>1271819</v>
      </c>
      <c r="AN6">
        <f t="shared" si="4"/>
        <v>8.1433714313894487</v>
      </c>
    </row>
    <row r="7" spans="1:40" x14ac:dyDescent="0.2">
      <c r="A7" s="11">
        <v>6</v>
      </c>
      <c r="B7" s="12" t="s">
        <v>94</v>
      </c>
      <c r="C7" s="11">
        <v>8834.1658000000007</v>
      </c>
      <c r="D7" s="11">
        <v>3540.5608999999999</v>
      </c>
      <c r="E7" s="11">
        <v>8170.8167000000003</v>
      </c>
      <c r="F7" s="11">
        <v>3147.6750000000002</v>
      </c>
      <c r="G7" s="11">
        <v>7083.2303000000002</v>
      </c>
      <c r="H7" s="11">
        <v>2761.5153</v>
      </c>
      <c r="I7" s="11"/>
      <c r="J7" s="13">
        <v>13958</v>
      </c>
      <c r="K7" s="11" t="s">
        <v>95</v>
      </c>
      <c r="L7" s="13">
        <v>15614</v>
      </c>
      <c r="M7">
        <v>172997</v>
      </c>
      <c r="N7" s="13">
        <v>17145</v>
      </c>
      <c r="O7">
        <v>195398</v>
      </c>
      <c r="P7" s="13">
        <v>18222</v>
      </c>
      <c r="Q7">
        <v>215100</v>
      </c>
      <c r="R7" s="11"/>
      <c r="S7">
        <v>518577</v>
      </c>
      <c r="T7">
        <v>393047</v>
      </c>
      <c r="U7">
        <v>25983</v>
      </c>
      <c r="V7">
        <v>356.03</v>
      </c>
      <c r="W7">
        <v>504995</v>
      </c>
      <c r="X7">
        <v>382828</v>
      </c>
      <c r="Y7">
        <v>23631</v>
      </c>
      <c r="Z7" s="5">
        <v>301.98</v>
      </c>
      <c r="AA7" s="5">
        <v>504995</v>
      </c>
      <c r="AB7" s="5">
        <v>382828</v>
      </c>
      <c r="AC7" s="5">
        <v>23631</v>
      </c>
      <c r="AD7" s="5">
        <v>301.98</v>
      </c>
      <c r="AE7" s="5">
        <v>1193891</v>
      </c>
      <c r="AF7" s="5">
        <v>813237</v>
      </c>
      <c r="AG7" s="5">
        <v>130575</v>
      </c>
      <c r="AH7" s="5">
        <v>480</v>
      </c>
      <c r="AJ7">
        <f t="shared" si="0"/>
        <v>194498.33333333334</v>
      </c>
      <c r="AK7">
        <f t="shared" si="1"/>
        <v>0.39196030933609</v>
      </c>
      <c r="AL7">
        <f t="shared" si="2"/>
        <v>319.99666666666667</v>
      </c>
      <c r="AM7">
        <f t="shared" si="3"/>
        <v>509522.33333333331</v>
      </c>
      <c r="AN7">
        <f t="shared" si="4"/>
        <v>5.0104420365731608</v>
      </c>
    </row>
    <row r="8" spans="1:40" x14ac:dyDescent="0.2">
      <c r="A8" s="11">
        <v>7</v>
      </c>
      <c r="B8" s="12" t="s">
        <v>96</v>
      </c>
      <c r="C8" s="11">
        <v>16564.223999999998</v>
      </c>
      <c r="D8" s="11">
        <v>12646.314</v>
      </c>
      <c r="E8" s="11">
        <v>15325.925999999999</v>
      </c>
      <c r="F8" s="11">
        <v>12081.183000000001</v>
      </c>
      <c r="G8" s="11">
        <v>12967.2508</v>
      </c>
      <c r="H8" s="11">
        <v>9534.7507000000005</v>
      </c>
      <c r="I8" s="11"/>
      <c r="J8" s="13">
        <v>24128</v>
      </c>
      <c r="K8" s="11" t="s">
        <v>97</v>
      </c>
      <c r="L8" s="13">
        <v>25045</v>
      </c>
      <c r="M8">
        <v>127560</v>
      </c>
      <c r="N8" s="13">
        <v>26351</v>
      </c>
      <c r="O8">
        <v>137278</v>
      </c>
      <c r="P8" s="13">
        <v>29827</v>
      </c>
      <c r="Q8">
        <v>168466</v>
      </c>
      <c r="R8" s="11"/>
      <c r="S8">
        <v>943783</v>
      </c>
      <c r="T8">
        <v>708902</v>
      </c>
      <c r="U8">
        <v>45090</v>
      </c>
      <c r="V8">
        <v>299.70999999999998</v>
      </c>
      <c r="W8">
        <v>938770</v>
      </c>
      <c r="X8">
        <v>700900</v>
      </c>
      <c r="Y8">
        <v>41870</v>
      </c>
      <c r="Z8" s="5">
        <v>248.45</v>
      </c>
      <c r="AA8" s="5">
        <v>938770</v>
      </c>
      <c r="AB8" s="5">
        <v>700900</v>
      </c>
      <c r="AC8" s="5">
        <v>41870</v>
      </c>
      <c r="AD8" s="5">
        <v>248.45</v>
      </c>
      <c r="AE8" s="5">
        <v>445837</v>
      </c>
      <c r="AF8" s="5">
        <v>340298</v>
      </c>
      <c r="AG8" s="5">
        <v>23957</v>
      </c>
      <c r="AH8" s="5">
        <v>200</v>
      </c>
      <c r="AJ8">
        <f t="shared" si="0"/>
        <v>144434.66666666666</v>
      </c>
      <c r="AK8">
        <f t="shared" si="1"/>
        <v>0.76235010198430031</v>
      </c>
      <c r="AL8">
        <f t="shared" si="2"/>
        <v>265.53666666666663</v>
      </c>
      <c r="AM8">
        <f t="shared" si="3"/>
        <v>940441</v>
      </c>
      <c r="AN8">
        <f t="shared" si="4"/>
        <v>4.7775812872238639</v>
      </c>
    </row>
    <row r="9" spans="1:40" x14ac:dyDescent="0.2">
      <c r="A9" s="11">
        <v>8</v>
      </c>
      <c r="B9" s="12" t="s">
        <v>98</v>
      </c>
      <c r="C9" s="11">
        <v>21584.893499999998</v>
      </c>
      <c r="D9" s="11">
        <v>9388.3631999999998</v>
      </c>
      <c r="E9" s="11">
        <v>20041.960500000001</v>
      </c>
      <c r="F9" s="11">
        <v>8528.3819999999996</v>
      </c>
      <c r="G9" s="11">
        <v>17321.1234</v>
      </c>
      <c r="H9" s="11">
        <v>6953.2829000000002</v>
      </c>
      <c r="I9" s="11"/>
      <c r="J9" s="13">
        <v>31588</v>
      </c>
      <c r="K9" s="11" t="s">
        <v>99</v>
      </c>
      <c r="L9" s="13">
        <v>35394</v>
      </c>
      <c r="M9">
        <v>208305</v>
      </c>
      <c r="N9" s="13">
        <v>37963</v>
      </c>
      <c r="O9">
        <v>224528</v>
      </c>
      <c r="P9" s="13">
        <v>40832</v>
      </c>
      <c r="Q9">
        <v>251264</v>
      </c>
      <c r="R9" s="11"/>
      <c r="S9">
        <v>702329</v>
      </c>
      <c r="T9">
        <v>501593</v>
      </c>
      <c r="U9">
        <v>38890</v>
      </c>
      <c r="V9">
        <v>413.89</v>
      </c>
      <c r="W9">
        <v>691376</v>
      </c>
      <c r="X9">
        <v>491520</v>
      </c>
      <c r="Y9">
        <v>34480</v>
      </c>
      <c r="Z9" s="5">
        <v>359.21</v>
      </c>
      <c r="AA9" s="5">
        <v>691376</v>
      </c>
      <c r="AB9" s="5">
        <v>491520</v>
      </c>
      <c r="AC9" s="5">
        <v>34480</v>
      </c>
      <c r="AD9" s="5">
        <v>359.21</v>
      </c>
      <c r="AE9" s="5">
        <v>858914</v>
      </c>
      <c r="AF9" s="5">
        <v>647425</v>
      </c>
      <c r="AG9" s="5">
        <v>67192</v>
      </c>
      <c r="AH9" s="5">
        <v>168</v>
      </c>
      <c r="AJ9">
        <f t="shared" si="0"/>
        <v>228032.33333333334</v>
      </c>
      <c r="AK9">
        <f t="shared" si="1"/>
        <v>0.42063689577476909</v>
      </c>
      <c r="AL9">
        <f t="shared" si="2"/>
        <v>377.43666666666667</v>
      </c>
      <c r="AM9">
        <f t="shared" si="3"/>
        <v>695027</v>
      </c>
      <c r="AN9">
        <f t="shared" si="4"/>
        <v>5.5372909277560796</v>
      </c>
    </row>
    <row r="10" spans="1:40" x14ac:dyDescent="0.2">
      <c r="A10" s="11">
        <v>9</v>
      </c>
      <c r="B10" s="12" t="s">
        <v>100</v>
      </c>
      <c r="C10" s="11">
        <v>49283.097999999998</v>
      </c>
      <c r="D10" s="11">
        <v>44374.820800000001</v>
      </c>
      <c r="E10" s="11">
        <v>46348.373599999999</v>
      </c>
      <c r="F10" s="11">
        <v>39187.284</v>
      </c>
      <c r="G10" s="11">
        <v>40320.609799999998</v>
      </c>
      <c r="H10" s="11">
        <v>30991.2307</v>
      </c>
      <c r="I10" s="11"/>
      <c r="J10" s="13">
        <v>55923</v>
      </c>
      <c r="K10" s="11" t="s">
        <v>101</v>
      </c>
      <c r="L10" s="13">
        <v>61445</v>
      </c>
      <c r="M10">
        <v>210195</v>
      </c>
      <c r="N10" s="13">
        <v>67759</v>
      </c>
      <c r="O10">
        <v>240888</v>
      </c>
      <c r="P10" s="13">
        <v>73146</v>
      </c>
      <c r="Q10">
        <v>279930</v>
      </c>
      <c r="R10" s="11"/>
      <c r="S10">
        <v>1564649</v>
      </c>
      <c r="T10">
        <v>1020873</v>
      </c>
      <c r="U10">
        <v>146049</v>
      </c>
      <c r="V10">
        <v>703.21</v>
      </c>
      <c r="W10">
        <v>1542839</v>
      </c>
      <c r="X10">
        <v>991322</v>
      </c>
      <c r="Y10">
        <v>144104</v>
      </c>
      <c r="Z10" s="5">
        <v>610.41</v>
      </c>
      <c r="AA10" s="5">
        <v>1542839</v>
      </c>
      <c r="AB10" s="5">
        <v>991322</v>
      </c>
      <c r="AC10" s="5">
        <v>144104</v>
      </c>
      <c r="AD10" s="5">
        <v>610.41</v>
      </c>
      <c r="AE10" s="5">
        <v>650338</v>
      </c>
      <c r="AF10" s="5">
        <v>451323</v>
      </c>
      <c r="AG10" s="5">
        <v>56681</v>
      </c>
      <c r="AH10" s="5">
        <v>241</v>
      </c>
      <c r="AJ10">
        <f t="shared" si="0"/>
        <v>243671</v>
      </c>
      <c r="AK10">
        <f t="shared" si="1"/>
        <v>0.83817361092415377</v>
      </c>
      <c r="AL10">
        <f t="shared" si="2"/>
        <v>641.34333333333325</v>
      </c>
      <c r="AM10">
        <f t="shared" si="3"/>
        <v>1550109</v>
      </c>
      <c r="AN10">
        <f t="shared" si="4"/>
        <v>9.334297979930323</v>
      </c>
    </row>
    <row r="11" spans="1:40" x14ac:dyDescent="0.2">
      <c r="A11" s="11">
        <v>10</v>
      </c>
      <c r="B11" s="12" t="s">
        <v>102</v>
      </c>
      <c r="C11" s="11">
        <v>10571.7112</v>
      </c>
      <c r="D11" s="11">
        <v>8094.4652999999998</v>
      </c>
      <c r="E11" s="11">
        <v>10010.489299999999</v>
      </c>
      <c r="F11" s="11">
        <v>6873.1381000000001</v>
      </c>
      <c r="G11" s="11">
        <v>8532.0344999999998</v>
      </c>
      <c r="H11" s="11">
        <v>5445.66</v>
      </c>
      <c r="I11" s="11"/>
      <c r="J11" s="13">
        <v>19079</v>
      </c>
      <c r="K11" s="11" t="s">
        <v>103</v>
      </c>
      <c r="L11" s="13">
        <v>21126</v>
      </c>
      <c r="M11">
        <v>176566</v>
      </c>
      <c r="N11" s="13">
        <v>22157</v>
      </c>
      <c r="O11">
        <v>189800</v>
      </c>
      <c r="P11" s="13">
        <v>23852</v>
      </c>
      <c r="Q11">
        <v>210773</v>
      </c>
      <c r="R11" s="11"/>
      <c r="S11">
        <v>742251</v>
      </c>
      <c r="T11">
        <v>478006</v>
      </c>
      <c r="U11">
        <v>70453</v>
      </c>
      <c r="V11">
        <v>461.1</v>
      </c>
      <c r="W11">
        <v>737318</v>
      </c>
      <c r="X11">
        <v>472077</v>
      </c>
      <c r="Y11">
        <v>71969</v>
      </c>
      <c r="Z11" s="5">
        <v>408.72</v>
      </c>
      <c r="AA11" s="5">
        <v>737318</v>
      </c>
      <c r="AB11" s="5">
        <v>472077</v>
      </c>
      <c r="AC11" s="5">
        <v>71969</v>
      </c>
      <c r="AD11" s="5">
        <v>408.72</v>
      </c>
      <c r="AE11" s="5">
        <v>721760</v>
      </c>
      <c r="AF11" s="5">
        <v>509434</v>
      </c>
      <c r="AG11" s="5">
        <v>94222</v>
      </c>
      <c r="AH11" s="5">
        <v>158</v>
      </c>
      <c r="AJ11">
        <f t="shared" si="0"/>
        <v>192379.66666666666</v>
      </c>
      <c r="AK11">
        <f t="shared" si="1"/>
        <v>0.69684208116392432</v>
      </c>
      <c r="AL11">
        <f t="shared" si="2"/>
        <v>426.18</v>
      </c>
      <c r="AM11">
        <f t="shared" si="3"/>
        <v>738962.33333333337</v>
      </c>
      <c r="AN11">
        <f t="shared" si="4"/>
        <v>9.4918026381911247</v>
      </c>
    </row>
    <row r="12" spans="1:40" x14ac:dyDescent="0.2">
      <c r="A12" s="11">
        <v>11</v>
      </c>
      <c r="B12" s="12" t="s">
        <v>104</v>
      </c>
      <c r="C12" s="11">
        <v>13705.5921</v>
      </c>
      <c r="D12" s="11">
        <v>10568.1711</v>
      </c>
      <c r="E12" s="11">
        <v>13021.670400000001</v>
      </c>
      <c r="F12" s="11">
        <v>9600.1866000000009</v>
      </c>
      <c r="G12" s="11">
        <v>11158.6322</v>
      </c>
      <c r="H12" s="11">
        <v>7493.9332000000004</v>
      </c>
      <c r="I12" s="11"/>
      <c r="J12" s="13">
        <v>24999</v>
      </c>
      <c r="K12" s="11" t="s">
        <v>105</v>
      </c>
      <c r="L12" s="13">
        <v>27706</v>
      </c>
      <c r="M12">
        <v>180556</v>
      </c>
      <c r="N12" s="13">
        <v>29462</v>
      </c>
      <c r="O12">
        <v>193559</v>
      </c>
      <c r="P12" s="13">
        <v>32159</v>
      </c>
      <c r="Q12">
        <v>217188</v>
      </c>
      <c r="R12" s="11"/>
      <c r="S12">
        <v>887516</v>
      </c>
      <c r="T12">
        <v>617649</v>
      </c>
      <c r="U12">
        <v>85669</v>
      </c>
      <c r="V12">
        <v>303.49</v>
      </c>
      <c r="W12">
        <v>859121</v>
      </c>
      <c r="X12">
        <v>597241</v>
      </c>
      <c r="Y12">
        <v>81324</v>
      </c>
      <c r="Z12" s="5">
        <v>258</v>
      </c>
      <c r="AA12" s="5">
        <v>859121</v>
      </c>
      <c r="AB12" s="5">
        <v>597241</v>
      </c>
      <c r="AC12" s="5">
        <v>81324</v>
      </c>
      <c r="AD12" s="5">
        <v>258</v>
      </c>
      <c r="AE12" s="5">
        <v>302835</v>
      </c>
      <c r="AF12" s="5">
        <v>218717</v>
      </c>
      <c r="AG12" s="5">
        <v>20412</v>
      </c>
      <c r="AH12" s="5">
        <v>127</v>
      </c>
      <c r="AJ12">
        <f t="shared" si="0"/>
        <v>197101</v>
      </c>
      <c r="AK12">
        <f t="shared" si="1"/>
        <v>0.72663774813093385</v>
      </c>
      <c r="AL12">
        <f t="shared" si="2"/>
        <v>273.16333333333336</v>
      </c>
      <c r="AM12">
        <f t="shared" si="3"/>
        <v>868586</v>
      </c>
      <c r="AN12">
        <f t="shared" si="4"/>
        <v>9.6526710504373998</v>
      </c>
    </row>
    <row r="13" spans="1:40" x14ac:dyDescent="0.2">
      <c r="A13" s="11">
        <v>12</v>
      </c>
      <c r="B13" s="12" t="s">
        <v>106</v>
      </c>
      <c r="C13" s="11">
        <v>5943.3356999999996</v>
      </c>
      <c r="D13" s="11">
        <v>2037.9481000000001</v>
      </c>
      <c r="E13" s="11">
        <v>5457.8369000000002</v>
      </c>
      <c r="F13" s="11">
        <v>1823.4286999999999</v>
      </c>
      <c r="G13" s="11">
        <v>4814.3874999999998</v>
      </c>
      <c r="H13" s="11">
        <v>1547.2143000000001</v>
      </c>
      <c r="I13" s="11"/>
      <c r="J13" s="13">
        <v>9160</v>
      </c>
      <c r="K13" s="11" t="s">
        <v>107</v>
      </c>
      <c r="L13" s="13">
        <v>9948</v>
      </c>
      <c r="M13">
        <v>121946</v>
      </c>
      <c r="N13" s="13">
        <v>11100</v>
      </c>
      <c r="O13">
        <v>140744</v>
      </c>
      <c r="P13" s="13">
        <v>11778</v>
      </c>
      <c r="Q13">
        <v>156606</v>
      </c>
      <c r="R13" s="11"/>
      <c r="S13">
        <v>343265</v>
      </c>
      <c r="T13">
        <v>248487</v>
      </c>
      <c r="U13">
        <v>15519</v>
      </c>
      <c r="V13">
        <v>237.02</v>
      </c>
      <c r="W13">
        <v>335218</v>
      </c>
      <c r="X13">
        <v>242231</v>
      </c>
      <c r="Y13">
        <v>12965</v>
      </c>
      <c r="Z13" s="5">
        <v>189.97</v>
      </c>
      <c r="AA13" s="5">
        <v>335218</v>
      </c>
      <c r="AB13" s="5">
        <v>242231</v>
      </c>
      <c r="AC13" s="5">
        <v>12965</v>
      </c>
      <c r="AD13" s="5">
        <v>189.97</v>
      </c>
      <c r="AE13" s="5">
        <v>600081</v>
      </c>
      <c r="AF13" s="5">
        <v>400810</v>
      </c>
      <c r="AG13" s="5">
        <v>41134</v>
      </c>
      <c r="AH13" s="5">
        <v>223</v>
      </c>
      <c r="AJ13">
        <f t="shared" si="0"/>
        <v>139765.33333333334</v>
      </c>
      <c r="AK13">
        <f t="shared" si="1"/>
        <v>0.33278767873430243</v>
      </c>
      <c r="AL13">
        <f t="shared" si="2"/>
        <v>205.65333333333334</v>
      </c>
      <c r="AM13">
        <f t="shared" si="3"/>
        <v>337900.33333333331</v>
      </c>
      <c r="AN13">
        <f t="shared" si="4"/>
        <v>4.5209968974407531</v>
      </c>
    </row>
    <row r="14" spans="1:40" x14ac:dyDescent="0.2">
      <c r="A14" s="11">
        <v>13</v>
      </c>
      <c r="B14" s="12" t="s">
        <v>108</v>
      </c>
      <c r="C14" s="11">
        <v>8490.0584999999992</v>
      </c>
      <c r="D14" s="11">
        <v>4321.9241000000002</v>
      </c>
      <c r="E14" s="11">
        <v>7994.4398000000001</v>
      </c>
      <c r="F14" s="11">
        <v>3503.4816000000001</v>
      </c>
      <c r="G14" s="11">
        <v>7119.7530999999999</v>
      </c>
      <c r="H14" s="11">
        <v>2867.8921</v>
      </c>
      <c r="I14" s="11"/>
      <c r="J14" s="13">
        <v>14890</v>
      </c>
      <c r="K14" s="11" t="s">
        <v>109</v>
      </c>
      <c r="L14" s="13">
        <v>16814</v>
      </c>
      <c r="M14">
        <v>164603</v>
      </c>
      <c r="N14" s="13">
        <v>18291</v>
      </c>
      <c r="O14">
        <v>187199</v>
      </c>
      <c r="P14" s="13">
        <v>19324</v>
      </c>
      <c r="Q14">
        <v>205227</v>
      </c>
      <c r="R14" s="11"/>
      <c r="S14">
        <v>681525</v>
      </c>
      <c r="T14">
        <v>461787</v>
      </c>
      <c r="U14">
        <v>41509</v>
      </c>
      <c r="V14">
        <v>407.17</v>
      </c>
      <c r="W14">
        <v>664699</v>
      </c>
      <c r="X14">
        <v>448032</v>
      </c>
      <c r="Y14">
        <v>35162</v>
      </c>
      <c r="Z14" s="5">
        <v>346.39</v>
      </c>
      <c r="AA14" s="5">
        <v>664699</v>
      </c>
      <c r="AB14" s="5">
        <v>448032</v>
      </c>
      <c r="AC14" s="5">
        <v>35162</v>
      </c>
      <c r="AD14" s="5">
        <v>346.39</v>
      </c>
      <c r="AE14" s="5">
        <v>592143</v>
      </c>
      <c r="AF14" s="5">
        <v>384142</v>
      </c>
      <c r="AG14" s="5">
        <v>81565</v>
      </c>
      <c r="AH14" s="5">
        <v>144</v>
      </c>
      <c r="AJ14">
        <f t="shared" si="0"/>
        <v>185676.33333333334</v>
      </c>
      <c r="AK14">
        <f t="shared" si="1"/>
        <v>0.45003487866206826</v>
      </c>
      <c r="AL14">
        <f t="shared" si="2"/>
        <v>366.64999999999992</v>
      </c>
      <c r="AM14">
        <f t="shared" si="3"/>
        <v>670307.66666666663</v>
      </c>
      <c r="AN14">
        <f t="shared" si="4"/>
        <v>6.0906056270863136</v>
      </c>
    </row>
    <row r="15" spans="1:40" x14ac:dyDescent="0.2">
      <c r="A15" s="11">
        <v>14</v>
      </c>
      <c r="B15" s="12" t="s">
        <v>110</v>
      </c>
      <c r="C15" s="11">
        <v>4302.1435000000001</v>
      </c>
      <c r="D15" s="11">
        <v>4219.5491000000002</v>
      </c>
      <c r="E15" s="11">
        <v>4036.4942999999998</v>
      </c>
      <c r="F15" s="11">
        <v>3742.5488999999998</v>
      </c>
      <c r="G15" s="11">
        <v>3555.7330000000002</v>
      </c>
      <c r="H15" s="11">
        <v>3351.5423000000001</v>
      </c>
      <c r="I15" s="11"/>
      <c r="J15" s="13">
        <v>10751</v>
      </c>
      <c r="K15" s="11" t="s">
        <v>111</v>
      </c>
      <c r="L15" s="13">
        <v>11637</v>
      </c>
      <c r="M15">
        <v>135963</v>
      </c>
      <c r="N15" s="13">
        <v>12110</v>
      </c>
      <c r="O15">
        <v>145447</v>
      </c>
      <c r="P15" s="13">
        <v>13211</v>
      </c>
      <c r="Q15">
        <v>171249</v>
      </c>
      <c r="R15" s="11"/>
      <c r="S15">
        <v>658673</v>
      </c>
      <c r="T15">
        <v>412357</v>
      </c>
      <c r="U15">
        <v>60519</v>
      </c>
      <c r="V15">
        <v>232.49</v>
      </c>
      <c r="W15">
        <v>648197</v>
      </c>
      <c r="X15">
        <v>405823</v>
      </c>
      <c r="Y15">
        <v>59673</v>
      </c>
      <c r="Z15" s="5">
        <v>187.74</v>
      </c>
      <c r="AA15" s="5">
        <v>648197</v>
      </c>
      <c r="AB15" s="5">
        <v>405823</v>
      </c>
      <c r="AC15" s="5">
        <v>59673</v>
      </c>
      <c r="AD15" s="5">
        <v>187.74</v>
      </c>
      <c r="AE15" s="5">
        <v>1352952</v>
      </c>
      <c r="AF15" s="5">
        <v>969835</v>
      </c>
      <c r="AG15" s="5">
        <v>115499</v>
      </c>
      <c r="AH15" s="5">
        <v>366</v>
      </c>
      <c r="AJ15">
        <f t="shared" si="0"/>
        <v>150886.33333333334</v>
      </c>
      <c r="AK15">
        <f t="shared" si="1"/>
        <v>0.95018461609256344</v>
      </c>
      <c r="AL15">
        <f t="shared" si="2"/>
        <v>202.65666666666667</v>
      </c>
      <c r="AM15">
        <f t="shared" si="3"/>
        <v>651689</v>
      </c>
      <c r="AN15">
        <f t="shared" si="4"/>
        <v>9.1880189411134214</v>
      </c>
    </row>
    <row r="16" spans="1:40" x14ac:dyDescent="0.2">
      <c r="A16" s="11">
        <v>15</v>
      </c>
      <c r="B16" s="12" t="s">
        <v>112</v>
      </c>
      <c r="C16" s="11">
        <v>29887.969499999999</v>
      </c>
      <c r="D16" s="11">
        <v>21826.512200000001</v>
      </c>
      <c r="E16" s="11">
        <v>27398.0726</v>
      </c>
      <c r="F16" s="11">
        <v>19032.2372</v>
      </c>
      <c r="G16" s="11">
        <v>25355.390200000002</v>
      </c>
      <c r="H16" s="11">
        <v>15277.6785</v>
      </c>
      <c r="I16" s="11"/>
      <c r="J16" s="13">
        <v>49767</v>
      </c>
      <c r="K16" s="11" t="s">
        <v>113</v>
      </c>
      <c r="L16" s="13">
        <v>57234</v>
      </c>
      <c r="M16">
        <v>171883</v>
      </c>
      <c r="N16" s="13">
        <v>59854</v>
      </c>
      <c r="O16">
        <v>186395</v>
      </c>
      <c r="P16" s="13">
        <v>65271</v>
      </c>
      <c r="Q16">
        <v>209158</v>
      </c>
      <c r="R16" s="11"/>
      <c r="S16">
        <v>1622937</v>
      </c>
      <c r="T16">
        <v>1158873</v>
      </c>
      <c r="U16">
        <v>118018</v>
      </c>
      <c r="V16">
        <v>624.13</v>
      </c>
      <c r="W16">
        <v>1593355</v>
      </c>
      <c r="X16">
        <v>1129858</v>
      </c>
      <c r="Y16">
        <v>103311</v>
      </c>
      <c r="Z16" s="5">
        <v>560.97</v>
      </c>
      <c r="AA16" s="5">
        <v>1593355</v>
      </c>
      <c r="AB16" s="5">
        <v>1129858</v>
      </c>
      <c r="AC16" s="5">
        <v>103311</v>
      </c>
      <c r="AD16" s="5">
        <v>560.97</v>
      </c>
      <c r="AE16" s="5">
        <v>809467</v>
      </c>
      <c r="AF16" s="5">
        <v>472293</v>
      </c>
      <c r="AG16" s="5">
        <v>87863</v>
      </c>
      <c r="AH16" s="5">
        <v>183</v>
      </c>
      <c r="AJ16">
        <f t="shared" si="0"/>
        <v>189145.33333333334</v>
      </c>
      <c r="AK16">
        <f t="shared" si="1"/>
        <v>0.67582507467260522</v>
      </c>
      <c r="AL16">
        <f t="shared" si="2"/>
        <v>582.02333333333331</v>
      </c>
      <c r="AM16">
        <f t="shared" si="3"/>
        <v>1603215.6666666667</v>
      </c>
      <c r="AN16">
        <f t="shared" si="4"/>
        <v>7.2718780827598364</v>
      </c>
    </row>
    <row r="17" spans="1:40" x14ac:dyDescent="0.2">
      <c r="A17" s="11">
        <v>16</v>
      </c>
      <c r="B17" s="12" t="s">
        <v>114</v>
      </c>
      <c r="C17" s="11">
        <v>9011.2353999999996</v>
      </c>
      <c r="D17" s="11">
        <v>10641.1466</v>
      </c>
      <c r="E17" s="11">
        <v>8033.4231</v>
      </c>
      <c r="F17" s="11">
        <v>9673.9186000000009</v>
      </c>
      <c r="G17" s="11">
        <v>6895.8774999999996</v>
      </c>
      <c r="H17" s="11">
        <v>8420.2327000000005</v>
      </c>
      <c r="I17" s="11"/>
      <c r="J17" s="13">
        <v>21352</v>
      </c>
      <c r="K17" s="11" t="s">
        <v>115</v>
      </c>
      <c r="L17" s="13">
        <v>24479</v>
      </c>
      <c r="M17">
        <v>171519</v>
      </c>
      <c r="N17" s="13">
        <v>25851</v>
      </c>
      <c r="O17">
        <v>177663</v>
      </c>
      <c r="P17" s="13">
        <v>27345</v>
      </c>
      <c r="Q17">
        <v>195940</v>
      </c>
      <c r="R17" s="11"/>
      <c r="S17">
        <v>858374</v>
      </c>
      <c r="T17">
        <v>506727</v>
      </c>
      <c r="U17">
        <v>64904</v>
      </c>
      <c r="V17">
        <v>327.49</v>
      </c>
      <c r="W17">
        <v>844110</v>
      </c>
      <c r="X17">
        <v>492370</v>
      </c>
      <c r="Y17">
        <v>64169</v>
      </c>
      <c r="Z17" s="5">
        <v>272.18</v>
      </c>
      <c r="AA17" s="5">
        <v>844110</v>
      </c>
      <c r="AB17" s="5">
        <v>492370</v>
      </c>
      <c r="AC17" s="5">
        <v>64169</v>
      </c>
      <c r="AD17" s="5">
        <v>272.18</v>
      </c>
      <c r="AE17" s="5">
        <v>1231783</v>
      </c>
      <c r="AF17" s="5">
        <v>885928</v>
      </c>
      <c r="AG17" s="5">
        <v>170520</v>
      </c>
      <c r="AH17" s="5">
        <v>398</v>
      </c>
      <c r="AJ17">
        <f t="shared" si="0"/>
        <v>181707.33333333334</v>
      </c>
      <c r="AK17">
        <f t="shared" si="1"/>
        <v>1.2020457781572604</v>
      </c>
      <c r="AL17">
        <f t="shared" si="2"/>
        <v>290.61666666666673</v>
      </c>
      <c r="AM17">
        <f t="shared" si="3"/>
        <v>848864.66666666663</v>
      </c>
      <c r="AN17">
        <f t="shared" si="4"/>
        <v>7.5612728251321686</v>
      </c>
    </row>
    <row r="18" spans="1:40" x14ac:dyDescent="0.2">
      <c r="A18" s="11">
        <v>17</v>
      </c>
      <c r="B18" s="12" t="s">
        <v>116</v>
      </c>
      <c r="C18" s="11">
        <v>38519.576000000001</v>
      </c>
      <c r="D18" s="11">
        <v>58189.272599999997</v>
      </c>
      <c r="E18" s="11">
        <v>35468.3266</v>
      </c>
      <c r="F18" s="11">
        <v>56626.505499999999</v>
      </c>
      <c r="G18" s="11">
        <v>31122.1554</v>
      </c>
      <c r="H18" s="11">
        <v>43958.960500000001</v>
      </c>
      <c r="I18" s="11"/>
      <c r="J18" s="13">
        <v>71054</v>
      </c>
      <c r="K18" s="11" t="s">
        <v>117</v>
      </c>
      <c r="L18" s="13">
        <v>77888</v>
      </c>
      <c r="M18">
        <v>256244</v>
      </c>
      <c r="N18" s="13">
        <v>85038</v>
      </c>
      <c r="O18">
        <v>289181</v>
      </c>
      <c r="P18" s="13">
        <v>92723</v>
      </c>
      <c r="Q18">
        <v>324444</v>
      </c>
      <c r="R18" s="11"/>
      <c r="S18">
        <v>1473245</v>
      </c>
      <c r="T18">
        <v>1075102</v>
      </c>
      <c r="U18">
        <v>119545</v>
      </c>
      <c r="V18">
        <v>635.47</v>
      </c>
      <c r="W18">
        <v>1447076</v>
      </c>
      <c r="X18">
        <v>1050824</v>
      </c>
      <c r="Y18">
        <v>152093</v>
      </c>
      <c r="Z18" s="5">
        <v>546.69000000000005</v>
      </c>
      <c r="AA18" s="5">
        <v>1447076</v>
      </c>
      <c r="AB18" s="5">
        <v>1050824</v>
      </c>
      <c r="AC18" s="5">
        <v>152093</v>
      </c>
      <c r="AD18" s="5">
        <v>546.69000000000005</v>
      </c>
      <c r="AE18" s="5">
        <v>893175</v>
      </c>
      <c r="AF18" s="5">
        <v>627009</v>
      </c>
      <c r="AG18" s="5">
        <v>123423</v>
      </c>
      <c r="AH18" s="5">
        <v>285</v>
      </c>
      <c r="AJ18">
        <f t="shared" si="0"/>
        <v>289956.33333333331</v>
      </c>
      <c r="AK18">
        <f t="shared" si="1"/>
        <v>1.5065480033981506</v>
      </c>
      <c r="AL18">
        <f t="shared" si="2"/>
        <v>576.28333333333342</v>
      </c>
      <c r="AM18">
        <f t="shared" si="3"/>
        <v>1455799</v>
      </c>
      <c r="AN18">
        <f t="shared" si="4"/>
        <v>8.1144005240133161</v>
      </c>
    </row>
    <row r="19" spans="1:40" x14ac:dyDescent="0.2">
      <c r="A19" s="11">
        <v>18</v>
      </c>
      <c r="B19" s="12" t="s">
        <v>118</v>
      </c>
      <c r="C19" s="11">
        <v>14840.436600000001</v>
      </c>
      <c r="D19" s="11">
        <v>14751.625099999999</v>
      </c>
      <c r="E19" s="11">
        <v>13723.4972</v>
      </c>
      <c r="F19" s="11">
        <v>12712.1957</v>
      </c>
      <c r="G19" s="11">
        <v>12073.8127</v>
      </c>
      <c r="H19" s="11">
        <v>10381.5926</v>
      </c>
      <c r="I19" s="11"/>
      <c r="J19" s="13">
        <v>30564</v>
      </c>
      <c r="K19" s="11" t="s">
        <v>119</v>
      </c>
      <c r="L19" s="13">
        <v>32692</v>
      </c>
      <c r="M19">
        <v>175018</v>
      </c>
      <c r="N19" s="13">
        <v>36118</v>
      </c>
      <c r="O19">
        <v>196844</v>
      </c>
      <c r="P19" s="13">
        <v>39322</v>
      </c>
      <c r="Q19">
        <v>223600</v>
      </c>
      <c r="R19" s="11"/>
      <c r="S19">
        <v>955564</v>
      </c>
      <c r="T19">
        <v>674649</v>
      </c>
      <c r="U19">
        <v>91320</v>
      </c>
      <c r="V19">
        <v>407.1</v>
      </c>
      <c r="W19">
        <v>944647</v>
      </c>
      <c r="X19">
        <v>659210</v>
      </c>
      <c r="Y19">
        <v>89859</v>
      </c>
      <c r="Z19" s="5">
        <v>350.35</v>
      </c>
      <c r="AA19" s="5">
        <v>944647</v>
      </c>
      <c r="AB19" s="5">
        <v>659210</v>
      </c>
      <c r="AC19" s="5">
        <v>89859</v>
      </c>
      <c r="AD19" s="5">
        <v>350.35</v>
      </c>
      <c r="AE19" s="5">
        <v>689349</v>
      </c>
      <c r="AF19" s="5">
        <v>543516</v>
      </c>
      <c r="AG19" s="5">
        <v>112721</v>
      </c>
      <c r="AH19" s="5">
        <v>279</v>
      </c>
      <c r="AJ19">
        <f t="shared" si="0"/>
        <v>198487.33333333334</v>
      </c>
      <c r="AK19">
        <f t="shared" si="1"/>
        <v>0.92672270100480614</v>
      </c>
      <c r="AL19">
        <f t="shared" si="2"/>
        <v>369.26666666666671</v>
      </c>
      <c r="AM19">
        <f t="shared" si="3"/>
        <v>948286</v>
      </c>
      <c r="AN19">
        <f t="shared" si="4"/>
        <v>9.5566597318442312</v>
      </c>
    </row>
    <row r="20" spans="1:40" x14ac:dyDescent="0.2">
      <c r="A20" s="11">
        <v>19</v>
      </c>
      <c r="B20" s="12" t="s">
        <v>120</v>
      </c>
      <c r="C20" s="11">
        <v>2213293.9120999998</v>
      </c>
      <c r="D20" s="11">
        <v>1987973.2779000001</v>
      </c>
      <c r="E20" s="11">
        <v>1922388.1708</v>
      </c>
      <c r="F20" s="11">
        <v>1842060.0171999999</v>
      </c>
      <c r="G20" s="11">
        <v>1545078.4898000001</v>
      </c>
      <c r="H20" s="11">
        <v>1607344.5055</v>
      </c>
      <c r="I20" s="11"/>
      <c r="J20" s="11" t="s">
        <v>121</v>
      </c>
      <c r="K20" s="11" t="s">
        <v>122</v>
      </c>
      <c r="L20" s="11" t="s">
        <v>123</v>
      </c>
      <c r="M20">
        <v>417592</v>
      </c>
      <c r="N20" s="11" t="s">
        <v>124</v>
      </c>
      <c r="O20">
        <v>471054</v>
      </c>
      <c r="P20" s="11" t="s">
        <v>125</v>
      </c>
      <c r="Q20">
        <v>517875</v>
      </c>
      <c r="R20" s="11"/>
      <c r="S20">
        <v>618961</v>
      </c>
      <c r="T20">
        <v>521435</v>
      </c>
      <c r="U20">
        <v>81824</v>
      </c>
      <c r="V20">
        <v>370.88</v>
      </c>
      <c r="W20">
        <v>610038</v>
      </c>
      <c r="X20">
        <v>511083</v>
      </c>
      <c r="Y20">
        <v>74708</v>
      </c>
      <c r="Z20" s="5">
        <v>331.29</v>
      </c>
      <c r="AA20" s="5">
        <v>610038</v>
      </c>
      <c r="AB20" s="5">
        <v>511083</v>
      </c>
      <c r="AC20" s="5">
        <v>74708</v>
      </c>
      <c r="AD20" s="5">
        <v>331.29</v>
      </c>
      <c r="AE20" s="5">
        <v>1207919</v>
      </c>
      <c r="AF20" s="5">
        <v>919394</v>
      </c>
      <c r="AG20" s="5">
        <v>86015</v>
      </c>
      <c r="AH20" s="5">
        <v>512</v>
      </c>
      <c r="AJ20">
        <f t="shared" si="0"/>
        <v>468840.33333333331</v>
      </c>
      <c r="AK20">
        <f t="shared" si="1"/>
        <v>0.96557022365912071</v>
      </c>
      <c r="AL20">
        <f t="shared" si="2"/>
        <v>344.48666666666668</v>
      </c>
      <c r="AM20">
        <f t="shared" si="3"/>
        <v>613012.33333333337</v>
      </c>
      <c r="AN20">
        <f t="shared" si="4"/>
        <v>13.219572800224894</v>
      </c>
    </row>
    <row r="21" spans="1:40" x14ac:dyDescent="0.2">
      <c r="A21" s="11">
        <v>20</v>
      </c>
      <c r="B21" s="12" t="s">
        <v>126</v>
      </c>
      <c r="C21" s="11">
        <v>139901.1079</v>
      </c>
      <c r="D21" s="11">
        <v>82218.134699999995</v>
      </c>
      <c r="E21" s="11">
        <v>130068.409</v>
      </c>
      <c r="F21" s="11">
        <v>72506.136400000003</v>
      </c>
      <c r="G21" s="11">
        <v>111981.7893</v>
      </c>
      <c r="H21" s="11">
        <v>59338.956200000001</v>
      </c>
      <c r="I21" s="11"/>
      <c r="J21" s="11" t="s">
        <v>127</v>
      </c>
      <c r="K21" s="11" t="s">
        <v>128</v>
      </c>
      <c r="L21" s="11" t="s">
        <v>129</v>
      </c>
      <c r="M21">
        <v>295981</v>
      </c>
      <c r="N21" s="11" t="s">
        <v>130</v>
      </c>
      <c r="O21">
        <v>332628</v>
      </c>
      <c r="P21" s="11" t="s">
        <v>131</v>
      </c>
      <c r="Q21">
        <v>367805</v>
      </c>
      <c r="R21" s="11"/>
      <c r="S21">
        <v>1448043</v>
      </c>
      <c r="T21">
        <v>1145206</v>
      </c>
      <c r="U21">
        <v>107203</v>
      </c>
      <c r="V21">
        <v>867.24</v>
      </c>
      <c r="W21">
        <v>1415788</v>
      </c>
      <c r="X21">
        <v>1113084</v>
      </c>
      <c r="Y21">
        <v>104124</v>
      </c>
      <c r="Z21" s="5">
        <v>740.71</v>
      </c>
      <c r="AA21" s="5">
        <v>1415788</v>
      </c>
      <c r="AB21" s="5">
        <v>1113084</v>
      </c>
      <c r="AC21" s="5">
        <v>104124</v>
      </c>
      <c r="AD21" s="5">
        <v>740.71</v>
      </c>
      <c r="AE21" s="5">
        <v>1411291</v>
      </c>
      <c r="AF21" s="5">
        <v>993101</v>
      </c>
      <c r="AG21" s="5">
        <v>174573</v>
      </c>
      <c r="AH21" s="5">
        <v>374</v>
      </c>
      <c r="AJ21">
        <f t="shared" si="0"/>
        <v>332138</v>
      </c>
      <c r="AK21">
        <f t="shared" si="1"/>
        <v>0.55834398485225745</v>
      </c>
      <c r="AL21">
        <f t="shared" si="2"/>
        <v>782.88666666666666</v>
      </c>
      <c r="AM21">
        <f t="shared" si="3"/>
        <v>1426539.6666666667</v>
      </c>
      <c r="AN21">
        <f t="shared" si="4"/>
        <v>7.4033022500022447</v>
      </c>
    </row>
    <row r="22" spans="1:40" x14ac:dyDescent="0.2">
      <c r="A22" s="11">
        <v>21</v>
      </c>
      <c r="B22" s="12" t="s">
        <v>132</v>
      </c>
      <c r="C22" s="11">
        <v>18133.883900000001</v>
      </c>
      <c r="D22" s="11">
        <v>16957.8462</v>
      </c>
      <c r="E22" s="11">
        <v>17191.511600000002</v>
      </c>
      <c r="F22" s="11">
        <v>15066.3284</v>
      </c>
      <c r="G22" s="11">
        <v>15691.333699999999</v>
      </c>
      <c r="H22" s="11">
        <v>12625.9948</v>
      </c>
      <c r="I22" s="11"/>
      <c r="J22" s="13">
        <v>36654</v>
      </c>
      <c r="K22" s="11" t="s">
        <v>133</v>
      </c>
      <c r="L22" s="13">
        <v>41216</v>
      </c>
      <c r="M22">
        <v>161781</v>
      </c>
      <c r="N22" s="13">
        <v>45040</v>
      </c>
      <c r="O22">
        <v>182478</v>
      </c>
      <c r="P22" s="13">
        <v>46317</v>
      </c>
      <c r="Q22">
        <v>193015</v>
      </c>
      <c r="R22" s="11"/>
      <c r="S22">
        <v>1523787</v>
      </c>
      <c r="T22">
        <v>1033276</v>
      </c>
      <c r="U22">
        <v>140919</v>
      </c>
      <c r="V22">
        <v>564.78</v>
      </c>
      <c r="W22">
        <v>1505034</v>
      </c>
      <c r="X22">
        <v>1019788</v>
      </c>
      <c r="Y22">
        <v>155511</v>
      </c>
      <c r="Z22" s="5">
        <v>468.88</v>
      </c>
      <c r="AA22" s="5">
        <v>1505034</v>
      </c>
      <c r="AB22" s="5">
        <v>1019788</v>
      </c>
      <c r="AC22" s="5">
        <v>155511</v>
      </c>
      <c r="AD22" s="5">
        <v>468.88</v>
      </c>
      <c r="AE22" s="5">
        <v>673817</v>
      </c>
      <c r="AF22" s="5">
        <v>493409</v>
      </c>
      <c r="AG22" s="5">
        <v>79375</v>
      </c>
      <c r="AH22" s="5">
        <v>127</v>
      </c>
      <c r="AJ22">
        <f t="shared" si="0"/>
        <v>179091.33333333334</v>
      </c>
      <c r="AK22">
        <f t="shared" si="1"/>
        <v>0.87205880996179752</v>
      </c>
      <c r="AL22">
        <f t="shared" si="2"/>
        <v>500.84666666666664</v>
      </c>
      <c r="AM22">
        <f t="shared" si="3"/>
        <v>1511285</v>
      </c>
      <c r="AN22">
        <f t="shared" si="4"/>
        <v>9.2479460712028647</v>
      </c>
    </row>
    <row r="23" spans="1:40" x14ac:dyDescent="0.2">
      <c r="A23" s="11">
        <v>22</v>
      </c>
      <c r="B23" s="12" t="s">
        <v>134</v>
      </c>
      <c r="C23" s="11">
        <v>6991.6019999999999</v>
      </c>
      <c r="D23" s="11">
        <v>4647.8374000000003</v>
      </c>
      <c r="E23" s="11">
        <v>6478.5020999999997</v>
      </c>
      <c r="F23" s="11">
        <v>4215.1950999999999</v>
      </c>
      <c r="G23" s="11">
        <v>5579.9216999999999</v>
      </c>
      <c r="H23" s="11">
        <v>3401.3742999999999</v>
      </c>
      <c r="I23" s="11"/>
      <c r="J23" s="13">
        <v>13734</v>
      </c>
      <c r="K23" s="11" t="s">
        <v>135</v>
      </c>
      <c r="L23" s="13">
        <v>15216</v>
      </c>
      <c r="M23">
        <v>122127</v>
      </c>
      <c r="N23" s="13">
        <v>16030</v>
      </c>
      <c r="O23">
        <v>130707</v>
      </c>
      <c r="P23" s="13">
        <v>17230</v>
      </c>
      <c r="Q23">
        <v>146807</v>
      </c>
      <c r="R23" s="11"/>
      <c r="S23">
        <v>805369</v>
      </c>
      <c r="T23">
        <v>594341</v>
      </c>
      <c r="U23">
        <v>61271</v>
      </c>
      <c r="V23">
        <v>243.59</v>
      </c>
      <c r="W23">
        <v>782397</v>
      </c>
      <c r="X23">
        <v>574948</v>
      </c>
      <c r="Y23">
        <v>60882</v>
      </c>
      <c r="Z23" s="5">
        <v>206.43</v>
      </c>
      <c r="AA23" s="5">
        <v>782397</v>
      </c>
      <c r="AB23" s="5">
        <v>574948</v>
      </c>
      <c r="AC23" s="5">
        <v>60882</v>
      </c>
      <c r="AD23" s="5">
        <v>206.43</v>
      </c>
      <c r="AE23" s="5">
        <v>2091893</v>
      </c>
      <c r="AF23" s="5">
        <v>1257042</v>
      </c>
      <c r="AG23" s="5">
        <v>220470</v>
      </c>
      <c r="AH23" s="5">
        <v>786</v>
      </c>
      <c r="AJ23">
        <f t="shared" si="0"/>
        <v>133213.66666666666</v>
      </c>
      <c r="AK23">
        <f t="shared" si="1"/>
        <v>0.64166387438248051</v>
      </c>
      <c r="AL23">
        <f t="shared" si="2"/>
        <v>218.81666666666669</v>
      </c>
      <c r="AM23">
        <f t="shared" si="3"/>
        <v>790054.33333333337</v>
      </c>
      <c r="AN23">
        <f t="shared" si="4"/>
        <v>7.6078170379043648</v>
      </c>
    </row>
    <row r="24" spans="1:40" x14ac:dyDescent="0.2">
      <c r="A24" s="11">
        <v>23</v>
      </c>
      <c r="B24" s="12" t="s">
        <v>136</v>
      </c>
      <c r="C24" s="11">
        <v>91390.0628</v>
      </c>
      <c r="D24" s="11">
        <v>70503.101299999995</v>
      </c>
      <c r="E24" s="11">
        <v>82886.049299999999</v>
      </c>
      <c r="F24" s="11">
        <v>62930.937700000002</v>
      </c>
      <c r="G24" s="11">
        <v>70615.775500000003</v>
      </c>
      <c r="H24" s="11">
        <v>46370.921600000001</v>
      </c>
      <c r="I24" s="11"/>
      <c r="J24" s="11" t="s">
        <v>137</v>
      </c>
      <c r="K24" s="11" t="s">
        <v>138</v>
      </c>
      <c r="L24" s="11" t="s">
        <v>139</v>
      </c>
      <c r="M24">
        <v>231133</v>
      </c>
      <c r="N24" s="11" t="s">
        <v>140</v>
      </c>
      <c r="O24">
        <v>254954</v>
      </c>
      <c r="P24" s="11" t="s">
        <v>141</v>
      </c>
      <c r="Q24">
        <v>300260</v>
      </c>
      <c r="R24" s="11"/>
      <c r="S24">
        <v>2411005</v>
      </c>
      <c r="T24">
        <v>1591182</v>
      </c>
      <c r="U24">
        <v>170443</v>
      </c>
      <c r="V24">
        <v>1329.95</v>
      </c>
      <c r="W24">
        <v>2361041</v>
      </c>
      <c r="X24">
        <v>1527436</v>
      </c>
      <c r="Y24">
        <v>170387</v>
      </c>
      <c r="Z24" s="14">
        <v>1196.4000000000001</v>
      </c>
      <c r="AA24" s="5">
        <v>2361041</v>
      </c>
      <c r="AB24" s="5">
        <v>1527436</v>
      </c>
      <c r="AC24" s="5">
        <v>170387</v>
      </c>
      <c r="AD24" s="5">
        <v>1196.4000000000001</v>
      </c>
      <c r="AE24" s="5">
        <v>694113</v>
      </c>
      <c r="AF24" s="5">
        <v>458684</v>
      </c>
      <c r="AG24" s="5">
        <v>90136</v>
      </c>
      <c r="AH24" s="5">
        <v>329</v>
      </c>
      <c r="AJ24">
        <f t="shared" si="0"/>
        <v>262115.66666666666</v>
      </c>
      <c r="AK24">
        <f t="shared" si="1"/>
        <v>0.72912140824854144</v>
      </c>
      <c r="AL24">
        <f t="shared" si="2"/>
        <v>1240.9166666666667</v>
      </c>
      <c r="AM24">
        <f t="shared" si="3"/>
        <v>2377695.6666666665</v>
      </c>
      <c r="AN24">
        <f t="shared" si="4"/>
        <v>7.0693756338124549</v>
      </c>
    </row>
    <row r="25" spans="1:40" x14ac:dyDescent="0.2">
      <c r="A25" s="11">
        <v>24</v>
      </c>
      <c r="B25" s="12" t="s">
        <v>142</v>
      </c>
      <c r="C25" s="11">
        <v>41278.3825</v>
      </c>
      <c r="D25" s="11">
        <v>23739.081300000002</v>
      </c>
      <c r="E25" s="11">
        <v>38172.734900000003</v>
      </c>
      <c r="F25" s="11">
        <v>20443.072899999999</v>
      </c>
      <c r="G25" s="11">
        <v>33545.669500000004</v>
      </c>
      <c r="H25" s="11">
        <v>13957.6288</v>
      </c>
      <c r="I25" s="11"/>
      <c r="J25" s="11">
        <v>0</v>
      </c>
      <c r="K25" s="11">
        <v>0</v>
      </c>
      <c r="L25" s="11">
        <v>0</v>
      </c>
      <c r="M25">
        <v>0</v>
      </c>
      <c r="N25" s="11">
        <v>0</v>
      </c>
      <c r="O25">
        <v>0</v>
      </c>
      <c r="P25" s="11">
        <v>0</v>
      </c>
      <c r="Q25">
        <v>0</v>
      </c>
      <c r="R25" s="11"/>
      <c r="S25">
        <v>988083</v>
      </c>
      <c r="T25">
        <v>673291</v>
      </c>
      <c r="U25">
        <v>67278</v>
      </c>
      <c r="V25">
        <v>509.88</v>
      </c>
      <c r="W25">
        <v>950148</v>
      </c>
      <c r="X25">
        <v>635518</v>
      </c>
      <c r="Y25">
        <v>60172</v>
      </c>
      <c r="Z25" s="5">
        <v>448.47</v>
      </c>
      <c r="AA25" s="5">
        <v>950148</v>
      </c>
      <c r="AB25" s="5">
        <v>635518</v>
      </c>
      <c r="AC25" s="5">
        <v>60172</v>
      </c>
      <c r="AD25" s="5">
        <v>448.47</v>
      </c>
      <c r="AE25" s="5">
        <v>2138837</v>
      </c>
      <c r="AF25" s="5">
        <v>1466909</v>
      </c>
      <c r="AG25" s="5">
        <v>288222</v>
      </c>
      <c r="AH25" s="5">
        <v>748</v>
      </c>
      <c r="AJ25">
        <f t="shared" si="0"/>
        <v>0</v>
      </c>
      <c r="AK25">
        <f t="shared" si="1"/>
        <v>0.50890560144477803</v>
      </c>
      <c r="AL25">
        <f t="shared" si="2"/>
        <v>468.94000000000005</v>
      </c>
      <c r="AM25">
        <f t="shared" si="3"/>
        <v>962793</v>
      </c>
      <c r="AN25">
        <f t="shared" si="4"/>
        <v>6.808942163765594</v>
      </c>
    </row>
    <row r="26" spans="1:40" x14ac:dyDescent="0.2">
      <c r="A26" s="11">
        <v>25</v>
      </c>
      <c r="B26" s="12" t="s">
        <v>143</v>
      </c>
      <c r="C26" s="11">
        <v>8568.6455999999998</v>
      </c>
      <c r="D26" s="11">
        <v>8638.5882999999994</v>
      </c>
      <c r="E26" s="11">
        <v>7896.2368999999999</v>
      </c>
      <c r="F26" s="11">
        <v>7644.5568999999996</v>
      </c>
      <c r="G26" s="11">
        <v>6797.8981999999996</v>
      </c>
      <c r="H26" s="11">
        <v>6652.1580000000004</v>
      </c>
      <c r="I26" s="11"/>
      <c r="J26" s="13">
        <v>20014</v>
      </c>
      <c r="K26" s="11" t="s">
        <v>144</v>
      </c>
      <c r="L26" s="13">
        <v>23232</v>
      </c>
      <c r="M26">
        <v>166454</v>
      </c>
      <c r="N26" s="13">
        <v>24149</v>
      </c>
      <c r="O26">
        <v>176988</v>
      </c>
      <c r="P26" s="13">
        <v>25227</v>
      </c>
      <c r="Q26">
        <v>191546</v>
      </c>
      <c r="R26" s="11"/>
      <c r="S26">
        <v>910683</v>
      </c>
      <c r="T26">
        <v>553154</v>
      </c>
      <c r="U26">
        <v>82947</v>
      </c>
      <c r="V26">
        <v>330.85</v>
      </c>
      <c r="W26">
        <v>903587</v>
      </c>
      <c r="X26">
        <v>545752</v>
      </c>
      <c r="Y26">
        <v>84745</v>
      </c>
      <c r="Z26" s="5">
        <v>279.98</v>
      </c>
      <c r="AA26" s="5">
        <v>903587</v>
      </c>
      <c r="AB26" s="5">
        <v>545752</v>
      </c>
      <c r="AC26" s="5">
        <v>84745</v>
      </c>
      <c r="AD26" s="5">
        <v>279.98</v>
      </c>
      <c r="AE26" s="5">
        <v>773683</v>
      </c>
      <c r="AF26" s="5">
        <v>509495</v>
      </c>
      <c r="AG26" s="5">
        <v>109124</v>
      </c>
      <c r="AH26" s="5">
        <v>214</v>
      </c>
      <c r="AJ26">
        <f t="shared" si="0"/>
        <v>178329.33333333334</v>
      </c>
      <c r="AK26">
        <f t="shared" si="1"/>
        <v>0.98495007084223041</v>
      </c>
      <c r="AL26">
        <f t="shared" si="2"/>
        <v>296.93666666666667</v>
      </c>
      <c r="AM26">
        <f t="shared" si="3"/>
        <v>905952.33333333337</v>
      </c>
      <c r="AN26">
        <f t="shared" si="4"/>
        <v>9.1082187764567912</v>
      </c>
    </row>
    <row r="27" spans="1:40" x14ac:dyDescent="0.2">
      <c r="A27" s="11">
        <v>26</v>
      </c>
      <c r="B27" s="12" t="s">
        <v>145</v>
      </c>
      <c r="C27" s="11">
        <v>581374.88020000001</v>
      </c>
      <c r="D27" s="11">
        <v>433865.29489999998</v>
      </c>
      <c r="E27" s="11">
        <v>514059.25410000002</v>
      </c>
      <c r="F27" s="11">
        <v>384007.31550000003</v>
      </c>
      <c r="G27" s="11">
        <v>429006.93890000001</v>
      </c>
      <c r="H27" s="11">
        <v>306913.5012</v>
      </c>
      <c r="I27" s="11"/>
      <c r="J27" s="11" t="s">
        <v>146</v>
      </c>
      <c r="K27" s="11" t="s">
        <v>147</v>
      </c>
      <c r="L27" s="11" t="s">
        <v>148</v>
      </c>
      <c r="M27">
        <v>339549</v>
      </c>
      <c r="N27" s="11" t="s">
        <v>149</v>
      </c>
      <c r="O27">
        <v>386281</v>
      </c>
      <c r="P27" s="11" t="s">
        <v>150</v>
      </c>
      <c r="Q27">
        <v>426720</v>
      </c>
      <c r="R27" s="11"/>
      <c r="S27">
        <v>2081120</v>
      </c>
      <c r="T27">
        <v>1465289</v>
      </c>
      <c r="U27">
        <v>211162</v>
      </c>
      <c r="V27">
        <v>1443.83</v>
      </c>
      <c r="W27">
        <v>2024065</v>
      </c>
      <c r="X27">
        <v>1395288</v>
      </c>
      <c r="Y27">
        <v>214315</v>
      </c>
      <c r="Z27" s="14">
        <v>1262.2</v>
      </c>
      <c r="AA27" s="5">
        <v>2024065</v>
      </c>
      <c r="AB27" s="5">
        <v>1395288</v>
      </c>
      <c r="AC27" s="5">
        <v>214315</v>
      </c>
      <c r="AD27" s="5">
        <v>1262.2</v>
      </c>
      <c r="AE27" s="5">
        <v>1706337</v>
      </c>
      <c r="AF27" s="5">
        <v>1099000</v>
      </c>
      <c r="AG27" s="5">
        <v>265752</v>
      </c>
      <c r="AH27" s="5">
        <v>856</v>
      </c>
      <c r="AJ27">
        <f t="shared" si="0"/>
        <v>384183.33333333331</v>
      </c>
      <c r="AK27">
        <f t="shared" si="1"/>
        <v>0.73622964164920079</v>
      </c>
      <c r="AL27">
        <f t="shared" si="2"/>
        <v>1322.7433333333331</v>
      </c>
      <c r="AM27">
        <f t="shared" si="3"/>
        <v>2043083.3333333333</v>
      </c>
      <c r="AN27">
        <f t="shared" si="4"/>
        <v>10.146555700776505</v>
      </c>
    </row>
    <row r="28" spans="1:40" x14ac:dyDescent="0.2">
      <c r="A28" s="11">
        <v>27</v>
      </c>
      <c r="B28" s="12" t="s">
        <v>151</v>
      </c>
      <c r="C28" s="11">
        <v>63692.3773</v>
      </c>
      <c r="D28" s="11">
        <v>42161.700700000001</v>
      </c>
      <c r="E28" s="11">
        <v>58090.694799999997</v>
      </c>
      <c r="F28" s="11">
        <v>37060.750399999997</v>
      </c>
      <c r="G28" s="11">
        <v>52148.9764</v>
      </c>
      <c r="H28" s="11">
        <v>25667.761999999999</v>
      </c>
      <c r="I28" s="11"/>
      <c r="J28" s="13">
        <v>54170</v>
      </c>
      <c r="K28" s="11" t="s">
        <v>152</v>
      </c>
      <c r="L28" s="13">
        <v>60443</v>
      </c>
      <c r="M28">
        <v>290651</v>
      </c>
      <c r="N28" s="13">
        <v>65734</v>
      </c>
      <c r="O28">
        <v>323028</v>
      </c>
      <c r="P28" s="13">
        <v>70201</v>
      </c>
      <c r="Q28">
        <v>357581</v>
      </c>
      <c r="R28" s="11"/>
      <c r="S28">
        <v>673814</v>
      </c>
      <c r="T28">
        <v>460377</v>
      </c>
      <c r="U28">
        <v>70020</v>
      </c>
      <c r="V28">
        <v>417.4</v>
      </c>
      <c r="W28">
        <v>655032</v>
      </c>
      <c r="X28">
        <v>444434</v>
      </c>
      <c r="Y28">
        <v>68786</v>
      </c>
      <c r="Z28" s="5">
        <v>366.27</v>
      </c>
      <c r="AA28" s="5">
        <v>655032</v>
      </c>
      <c r="AB28" s="5">
        <v>444434</v>
      </c>
      <c r="AC28" s="5">
        <v>68786</v>
      </c>
      <c r="AD28" s="5">
        <v>366.27</v>
      </c>
      <c r="AE28" s="5">
        <v>517623</v>
      </c>
      <c r="AF28" s="5">
        <v>353707</v>
      </c>
      <c r="AG28" s="5">
        <v>77547</v>
      </c>
      <c r="AH28" s="5">
        <v>240</v>
      </c>
      <c r="AJ28">
        <f t="shared" si="0"/>
        <v>323753.33333333331</v>
      </c>
      <c r="AK28">
        <f t="shared" si="1"/>
        <v>0.59737995821780421</v>
      </c>
      <c r="AL28">
        <f t="shared" si="2"/>
        <v>383.31333333333333</v>
      </c>
      <c r="AM28">
        <f t="shared" si="3"/>
        <v>661292.66666666663</v>
      </c>
      <c r="AN28">
        <f t="shared" si="4"/>
        <v>10.391591744902897</v>
      </c>
    </row>
    <row r="29" spans="1:40" x14ac:dyDescent="0.2">
      <c r="A29" s="11">
        <v>28</v>
      </c>
      <c r="B29" s="12" t="s">
        <v>153</v>
      </c>
      <c r="C29" s="11">
        <v>15887.9337</v>
      </c>
      <c r="D29" s="11">
        <v>8985.0444000000007</v>
      </c>
      <c r="E29" s="11">
        <v>15096.2333</v>
      </c>
      <c r="F29" s="11">
        <v>8186.3684000000003</v>
      </c>
      <c r="G29" s="11">
        <v>13531.915999999999</v>
      </c>
      <c r="H29" s="11">
        <v>7031.8859000000002</v>
      </c>
      <c r="I29" s="11"/>
      <c r="J29" s="13">
        <v>24494</v>
      </c>
      <c r="K29" s="11" t="s">
        <v>154</v>
      </c>
      <c r="L29" s="13">
        <v>26512</v>
      </c>
      <c r="M29">
        <v>223261</v>
      </c>
      <c r="N29" s="13">
        <v>28872</v>
      </c>
      <c r="O29">
        <v>248286</v>
      </c>
      <c r="P29" s="13">
        <v>31175</v>
      </c>
      <c r="Q29">
        <v>277002</v>
      </c>
      <c r="R29" s="11"/>
      <c r="S29">
        <v>401088</v>
      </c>
      <c r="T29">
        <v>252672</v>
      </c>
      <c r="U29">
        <v>34407</v>
      </c>
      <c r="V29">
        <v>263.45999999999998</v>
      </c>
      <c r="W29">
        <v>390653</v>
      </c>
      <c r="X29">
        <v>242816</v>
      </c>
      <c r="Y29">
        <v>36363</v>
      </c>
      <c r="Z29" s="5">
        <v>235.85</v>
      </c>
      <c r="AA29" s="5">
        <v>390653</v>
      </c>
      <c r="AB29" s="5">
        <v>242816</v>
      </c>
      <c r="AC29" s="5">
        <v>36363</v>
      </c>
      <c r="AD29" s="5">
        <v>235.85</v>
      </c>
      <c r="AE29" s="5">
        <v>396749</v>
      </c>
      <c r="AF29" s="5">
        <v>210249</v>
      </c>
      <c r="AG29" s="5">
        <v>38907</v>
      </c>
      <c r="AH29" s="5">
        <v>240</v>
      </c>
      <c r="AJ29">
        <f t="shared" si="0"/>
        <v>249516.33333333334</v>
      </c>
      <c r="AK29">
        <f t="shared" si="1"/>
        <v>0.54248569325466256</v>
      </c>
      <c r="AL29">
        <f t="shared" si="2"/>
        <v>245.05333333333331</v>
      </c>
      <c r="AM29">
        <f t="shared" si="3"/>
        <v>394131.33333333331</v>
      </c>
      <c r="AN29">
        <f t="shared" si="4"/>
        <v>8.578416706558162</v>
      </c>
    </row>
    <row r="30" spans="1:40" x14ac:dyDescent="0.2">
      <c r="A30" s="11">
        <v>29</v>
      </c>
      <c r="B30" s="12" t="s">
        <v>155</v>
      </c>
      <c r="C30" s="11">
        <v>24876.5164</v>
      </c>
      <c r="D30" s="11">
        <v>19445.144100000001</v>
      </c>
      <c r="E30" s="11">
        <v>23224.7264</v>
      </c>
      <c r="F30" s="11">
        <v>17477.861400000002</v>
      </c>
      <c r="G30" s="11">
        <v>20832.661800000002</v>
      </c>
      <c r="H30" s="11">
        <v>13651.352999999999</v>
      </c>
      <c r="I30" s="11"/>
      <c r="J30" s="13">
        <v>45262</v>
      </c>
      <c r="K30" s="11" t="s">
        <v>156</v>
      </c>
      <c r="L30" s="13">
        <v>50067</v>
      </c>
      <c r="M30">
        <v>241658</v>
      </c>
      <c r="N30" s="13">
        <v>53317</v>
      </c>
      <c r="O30">
        <v>262623</v>
      </c>
      <c r="P30" s="13">
        <v>59566</v>
      </c>
      <c r="Q30">
        <v>304233</v>
      </c>
      <c r="R30" s="11"/>
      <c r="S30">
        <v>966583</v>
      </c>
      <c r="T30">
        <v>689622</v>
      </c>
      <c r="U30">
        <v>95586</v>
      </c>
      <c r="V30">
        <v>371.13</v>
      </c>
      <c r="W30">
        <v>932926</v>
      </c>
      <c r="X30">
        <v>667056</v>
      </c>
      <c r="Y30">
        <v>140173</v>
      </c>
      <c r="Z30" s="5">
        <v>318.20999999999998</v>
      </c>
      <c r="AA30" s="5">
        <v>932926</v>
      </c>
      <c r="AB30" s="5">
        <v>667056</v>
      </c>
      <c r="AC30" s="5">
        <v>140173</v>
      </c>
      <c r="AD30" s="5">
        <v>318.20999999999998</v>
      </c>
      <c r="AE30" s="5">
        <v>782944</v>
      </c>
      <c r="AF30" s="5">
        <v>559982</v>
      </c>
      <c r="AG30" s="5">
        <v>157872</v>
      </c>
      <c r="AH30" s="5">
        <v>217</v>
      </c>
      <c r="AJ30">
        <f t="shared" si="0"/>
        <v>269504.66666666669</v>
      </c>
      <c r="AK30">
        <f t="shared" si="1"/>
        <v>0.72983559293746858</v>
      </c>
      <c r="AL30">
        <f t="shared" si="2"/>
        <v>335.84999999999997</v>
      </c>
      <c r="AM30">
        <f t="shared" si="3"/>
        <v>944145</v>
      </c>
      <c r="AN30">
        <f t="shared" si="4"/>
        <v>9.8890628119882091</v>
      </c>
    </row>
    <row r="31" spans="1:40" x14ac:dyDescent="0.2">
      <c r="A31" s="11">
        <v>30</v>
      </c>
      <c r="B31" s="12" t="s">
        <v>157</v>
      </c>
      <c r="C31" s="11">
        <v>25376.103299999999</v>
      </c>
      <c r="D31" s="11">
        <v>18324.140299999999</v>
      </c>
      <c r="E31" s="11">
        <v>23476.540799999999</v>
      </c>
      <c r="F31" s="11">
        <v>16255.0296</v>
      </c>
      <c r="G31" s="11">
        <v>20851.275600000001</v>
      </c>
      <c r="H31" s="11">
        <v>12943.1576</v>
      </c>
      <c r="I31" s="11"/>
      <c r="J31" s="13">
        <v>45920</v>
      </c>
      <c r="K31" s="11" t="s">
        <v>158</v>
      </c>
      <c r="L31" s="13">
        <v>50448</v>
      </c>
      <c r="M31">
        <v>221575</v>
      </c>
      <c r="N31" s="13">
        <v>54501</v>
      </c>
      <c r="O31">
        <v>246457</v>
      </c>
      <c r="P31" s="13">
        <v>57760</v>
      </c>
      <c r="Q31">
        <v>271418</v>
      </c>
      <c r="R31" s="11"/>
      <c r="S31">
        <v>891755</v>
      </c>
      <c r="T31">
        <v>614509</v>
      </c>
      <c r="U31">
        <v>69667</v>
      </c>
      <c r="V31">
        <v>405.07</v>
      </c>
      <c r="W31">
        <v>866518</v>
      </c>
      <c r="X31">
        <v>583659</v>
      </c>
      <c r="Y31">
        <v>75754</v>
      </c>
      <c r="Z31" s="5">
        <v>347.54</v>
      </c>
      <c r="AA31" s="5">
        <v>866518</v>
      </c>
      <c r="AB31" s="5">
        <v>583659</v>
      </c>
      <c r="AC31" s="5">
        <v>75754</v>
      </c>
      <c r="AD31" s="5">
        <v>347.54</v>
      </c>
      <c r="AE31" s="5">
        <v>798341</v>
      </c>
      <c r="AF31" s="5">
        <v>494102</v>
      </c>
      <c r="AG31" s="5">
        <v>120407</v>
      </c>
      <c r="AH31" s="5">
        <v>249</v>
      </c>
      <c r="AJ31">
        <f t="shared" si="0"/>
        <v>246483.33333333334</v>
      </c>
      <c r="AK31">
        <f t="shared" si="1"/>
        <v>0.67841125298818117</v>
      </c>
      <c r="AL31">
        <f t="shared" si="2"/>
        <v>366.7166666666667</v>
      </c>
      <c r="AM31">
        <f t="shared" si="3"/>
        <v>874930.33333333337</v>
      </c>
      <c r="AN31">
        <f t="shared" si="4"/>
        <v>7.8123475618303235</v>
      </c>
    </row>
    <row r="32" spans="1:40" x14ac:dyDescent="0.2">
      <c r="A32" s="11">
        <v>31</v>
      </c>
      <c r="B32" s="12" t="s">
        <v>159</v>
      </c>
      <c r="C32" s="11">
        <v>9697.5143000000007</v>
      </c>
      <c r="D32" s="11">
        <v>3949.1390000000001</v>
      </c>
      <c r="E32" s="11">
        <v>9119.8687000000009</v>
      </c>
      <c r="F32" s="11">
        <v>3554.4843000000001</v>
      </c>
      <c r="G32" s="11">
        <v>8381.6223000000009</v>
      </c>
      <c r="H32" s="11">
        <v>3046.3899000000001</v>
      </c>
      <c r="I32" s="11"/>
      <c r="J32" s="13">
        <v>14004</v>
      </c>
      <c r="K32" s="11" t="s">
        <v>160</v>
      </c>
      <c r="L32" s="13">
        <v>15304</v>
      </c>
      <c r="M32">
        <v>262454</v>
      </c>
      <c r="N32" s="13">
        <v>16558</v>
      </c>
      <c r="O32">
        <v>276029</v>
      </c>
      <c r="P32" s="13">
        <v>17494</v>
      </c>
      <c r="Q32">
        <v>302001</v>
      </c>
      <c r="R32" s="11"/>
      <c r="S32">
        <v>200574</v>
      </c>
      <c r="T32">
        <v>139223</v>
      </c>
      <c r="U32">
        <v>18945</v>
      </c>
      <c r="V32">
        <v>145.5</v>
      </c>
      <c r="W32">
        <v>194803</v>
      </c>
      <c r="X32">
        <v>133673</v>
      </c>
      <c r="Y32">
        <v>15323</v>
      </c>
      <c r="Z32" s="5">
        <v>127.49</v>
      </c>
      <c r="AA32" s="5">
        <v>194803</v>
      </c>
      <c r="AB32" s="5">
        <v>133673</v>
      </c>
      <c r="AC32" s="5">
        <v>15323</v>
      </c>
      <c r="AD32" s="5">
        <v>127.49</v>
      </c>
      <c r="AE32" s="5">
        <v>217446</v>
      </c>
      <c r="AF32" s="5">
        <v>129257</v>
      </c>
      <c r="AG32" s="5">
        <v>18658</v>
      </c>
      <c r="AH32" s="5">
        <v>141</v>
      </c>
      <c r="AJ32">
        <f t="shared" si="0"/>
        <v>280161.33333333331</v>
      </c>
      <c r="AK32">
        <f t="shared" si="1"/>
        <v>0.38681481212376156</v>
      </c>
      <c r="AL32">
        <f t="shared" si="2"/>
        <v>133.49333333333334</v>
      </c>
      <c r="AM32">
        <f t="shared" si="3"/>
        <v>196726.66666666666</v>
      </c>
      <c r="AN32">
        <f t="shared" si="4"/>
        <v>9.4453917257471058</v>
      </c>
    </row>
    <row r="33" spans="1:40" x14ac:dyDescent="0.2">
      <c r="A33" s="11">
        <v>32</v>
      </c>
      <c r="B33" s="12" t="s">
        <v>161</v>
      </c>
      <c r="C33" s="11">
        <v>33909.446400000001</v>
      </c>
      <c r="D33" s="11">
        <v>30566.587200000002</v>
      </c>
      <c r="E33" s="11">
        <v>31760.9928</v>
      </c>
      <c r="F33" s="11">
        <v>27322.8259</v>
      </c>
      <c r="G33" s="11">
        <v>27465.004000000001</v>
      </c>
      <c r="H33" s="11">
        <v>23123.9764</v>
      </c>
      <c r="I33" s="11"/>
      <c r="J33" s="13">
        <v>72301</v>
      </c>
      <c r="K33" s="11" t="s">
        <v>162</v>
      </c>
      <c r="L33" s="13">
        <v>78246</v>
      </c>
      <c r="M33">
        <v>227182</v>
      </c>
      <c r="N33" s="13">
        <v>85994</v>
      </c>
      <c r="O33">
        <v>258367</v>
      </c>
      <c r="P33" s="13">
        <v>90903</v>
      </c>
      <c r="Q33">
        <v>289558</v>
      </c>
      <c r="R33" s="11"/>
      <c r="S33">
        <v>1759646</v>
      </c>
      <c r="T33">
        <v>1354075</v>
      </c>
      <c r="U33">
        <v>132518</v>
      </c>
      <c r="V33">
        <v>865.63</v>
      </c>
      <c r="W33">
        <v>1714728</v>
      </c>
      <c r="X33">
        <v>1316054</v>
      </c>
      <c r="Y33">
        <v>135915</v>
      </c>
      <c r="Z33" s="5">
        <v>739.9</v>
      </c>
      <c r="AA33" s="5">
        <v>1714728</v>
      </c>
      <c r="AB33" s="5">
        <v>1316054</v>
      </c>
      <c r="AC33" s="5">
        <v>135915</v>
      </c>
      <c r="AD33" s="5">
        <v>739.9</v>
      </c>
      <c r="AE33" s="5">
        <v>1560277</v>
      </c>
      <c r="AF33" s="5">
        <v>1136761</v>
      </c>
      <c r="AG33" s="5">
        <v>196360</v>
      </c>
      <c r="AH33" s="5">
        <v>523</v>
      </c>
      <c r="AJ33">
        <f t="shared" si="0"/>
        <v>258369</v>
      </c>
      <c r="AK33">
        <f t="shared" si="1"/>
        <v>0.86787498730731194</v>
      </c>
      <c r="AL33">
        <f t="shared" si="2"/>
        <v>781.81</v>
      </c>
      <c r="AM33">
        <f t="shared" si="3"/>
        <v>1729700.6666666667</v>
      </c>
      <c r="AN33">
        <f t="shared" si="4"/>
        <v>7.53094656538872</v>
      </c>
    </row>
    <row r="34" spans="1:40" x14ac:dyDescent="0.2">
      <c r="A34" s="11">
        <v>33</v>
      </c>
      <c r="B34" s="12" t="s">
        <v>163</v>
      </c>
      <c r="C34" s="11">
        <v>344867.80359999998</v>
      </c>
      <c r="D34" s="11">
        <v>200413.98800000001</v>
      </c>
      <c r="E34" s="11">
        <v>310037.57209999999</v>
      </c>
      <c r="F34" s="11">
        <v>183197.14559999999</v>
      </c>
      <c r="G34" s="11">
        <v>266106.31089999998</v>
      </c>
      <c r="H34" s="11">
        <v>128037.2528</v>
      </c>
      <c r="I34" s="11"/>
      <c r="J34" s="11" t="s">
        <v>164</v>
      </c>
      <c r="K34" s="11" t="s">
        <v>165</v>
      </c>
      <c r="L34" s="11" t="s">
        <v>166</v>
      </c>
      <c r="M34">
        <v>357402</v>
      </c>
      <c r="N34" s="11" t="s">
        <v>167</v>
      </c>
      <c r="O34">
        <v>403064</v>
      </c>
      <c r="P34" s="11" t="s">
        <v>168</v>
      </c>
      <c r="Q34">
        <v>444283</v>
      </c>
      <c r="R34" s="11"/>
      <c r="S34">
        <v>1613980</v>
      </c>
      <c r="T34">
        <v>1227308</v>
      </c>
      <c r="U34">
        <v>204212</v>
      </c>
      <c r="V34">
        <v>827.86</v>
      </c>
      <c r="W34">
        <v>1568962</v>
      </c>
      <c r="X34">
        <v>1185814</v>
      </c>
      <c r="Y34">
        <v>198346</v>
      </c>
      <c r="Z34" s="5">
        <v>685.11</v>
      </c>
      <c r="AA34" s="5">
        <v>1568962</v>
      </c>
      <c r="AB34" s="5">
        <v>1185814</v>
      </c>
      <c r="AC34" s="5">
        <v>198346</v>
      </c>
      <c r="AD34" s="5">
        <v>685.11</v>
      </c>
      <c r="AE34" s="5">
        <v>2138837</v>
      </c>
      <c r="AF34" s="5">
        <v>1466909</v>
      </c>
      <c r="AG34" s="5">
        <v>288222</v>
      </c>
      <c r="AH34" s="5">
        <v>748</v>
      </c>
      <c r="AJ34">
        <f t="shared" si="0"/>
        <v>401583</v>
      </c>
      <c r="AK34">
        <f t="shared" si="1"/>
        <v>0.55105682081321061</v>
      </c>
      <c r="AL34">
        <f t="shared" si="2"/>
        <v>732.69333333333327</v>
      </c>
      <c r="AM34">
        <f t="shared" si="3"/>
        <v>1583968</v>
      </c>
      <c r="AN34">
        <f t="shared" si="4"/>
        <v>12.652697059443115</v>
      </c>
    </row>
    <row r="35" spans="1:40" x14ac:dyDescent="0.2">
      <c r="A35" s="11">
        <v>34</v>
      </c>
      <c r="B35" s="12" t="s">
        <v>169</v>
      </c>
      <c r="C35" s="11">
        <v>12746.643599999999</v>
      </c>
      <c r="D35" s="11">
        <v>10422.8035</v>
      </c>
      <c r="E35" s="11">
        <v>11807.384700000001</v>
      </c>
      <c r="F35" s="11">
        <v>9664.4532999999992</v>
      </c>
      <c r="G35" s="11">
        <v>10355.8444</v>
      </c>
      <c r="H35" s="11">
        <v>7976.4470000000001</v>
      </c>
      <c r="I35" s="11"/>
      <c r="J35" s="13">
        <v>18805</v>
      </c>
      <c r="K35" s="11" t="s">
        <v>170</v>
      </c>
      <c r="L35" s="13">
        <v>20399</v>
      </c>
      <c r="M35">
        <v>206729</v>
      </c>
      <c r="N35" s="13">
        <v>22216</v>
      </c>
      <c r="O35">
        <v>226555</v>
      </c>
      <c r="P35" s="13">
        <v>23841</v>
      </c>
      <c r="Q35">
        <v>254390</v>
      </c>
      <c r="R35" s="11"/>
      <c r="S35">
        <v>379985</v>
      </c>
      <c r="T35">
        <v>289456</v>
      </c>
      <c r="U35">
        <v>28379</v>
      </c>
      <c r="V35">
        <v>211.09</v>
      </c>
      <c r="W35">
        <v>371598</v>
      </c>
      <c r="X35">
        <v>282362</v>
      </c>
      <c r="Y35">
        <v>24306</v>
      </c>
      <c r="Z35" s="5">
        <v>184.41</v>
      </c>
      <c r="AA35" s="5">
        <v>371598</v>
      </c>
      <c r="AB35" s="5">
        <v>282362</v>
      </c>
      <c r="AC35" s="5">
        <v>24306</v>
      </c>
      <c r="AD35" s="5">
        <v>184.41</v>
      </c>
      <c r="AE35" s="5">
        <v>346125</v>
      </c>
      <c r="AF35" s="5">
        <v>245765</v>
      </c>
      <c r="AG35" s="5">
        <v>33303</v>
      </c>
      <c r="AH35" s="5">
        <v>144</v>
      </c>
      <c r="AJ35">
        <f t="shared" si="0"/>
        <v>229224.66666666666</v>
      </c>
      <c r="AK35">
        <f t="shared" si="1"/>
        <v>0.80214517911455474</v>
      </c>
      <c r="AL35">
        <f t="shared" si="2"/>
        <v>193.30333333333331</v>
      </c>
      <c r="AM35">
        <f t="shared" si="3"/>
        <v>374393.66666666669</v>
      </c>
      <c r="AN35">
        <f t="shared" si="4"/>
        <v>7.468452702080346</v>
      </c>
    </row>
    <row r="36" spans="1:40" x14ac:dyDescent="0.2">
      <c r="A36" s="11">
        <v>35</v>
      </c>
      <c r="B36" s="12" t="s">
        <v>171</v>
      </c>
      <c r="C36" s="11">
        <v>4477.8692000000001</v>
      </c>
      <c r="D36" s="11">
        <v>4822.5213999999996</v>
      </c>
      <c r="E36" s="11">
        <v>4259.5834999999997</v>
      </c>
      <c r="F36" s="11">
        <v>4197.5144</v>
      </c>
      <c r="G36" s="11">
        <v>3794.2671</v>
      </c>
      <c r="H36" s="11">
        <v>3198.7089999999998</v>
      </c>
      <c r="I36" s="11"/>
      <c r="J36" s="13">
        <v>10433</v>
      </c>
      <c r="K36" s="11" t="s">
        <v>172</v>
      </c>
      <c r="L36" s="13">
        <v>11167</v>
      </c>
      <c r="M36">
        <v>120868</v>
      </c>
      <c r="N36" s="13">
        <v>11988</v>
      </c>
      <c r="O36">
        <v>132972</v>
      </c>
      <c r="P36" s="13">
        <v>13851</v>
      </c>
      <c r="Q36">
        <v>160925</v>
      </c>
      <c r="R36" s="11"/>
      <c r="S36">
        <v>440555</v>
      </c>
      <c r="T36">
        <v>320383</v>
      </c>
      <c r="U36">
        <v>26575</v>
      </c>
      <c r="V36">
        <v>130.41999999999999</v>
      </c>
      <c r="W36">
        <v>430798</v>
      </c>
      <c r="X36">
        <v>310899</v>
      </c>
      <c r="Y36">
        <v>22199</v>
      </c>
      <c r="Z36" s="5">
        <v>110.69</v>
      </c>
      <c r="AA36" s="5">
        <v>430798</v>
      </c>
      <c r="AB36" s="5">
        <v>310899</v>
      </c>
      <c r="AC36" s="5">
        <v>22199</v>
      </c>
      <c r="AD36" s="5">
        <v>110.69</v>
      </c>
      <c r="AE36" s="5">
        <v>386808</v>
      </c>
      <c r="AF36" s="5">
        <v>271313</v>
      </c>
      <c r="AG36" s="5">
        <v>31396</v>
      </c>
      <c r="AH36" s="5">
        <v>72</v>
      </c>
      <c r="AJ36">
        <f t="shared" si="0"/>
        <v>138255</v>
      </c>
      <c r="AK36">
        <f t="shared" si="1"/>
        <v>0.96847788262746271</v>
      </c>
      <c r="AL36">
        <f t="shared" si="2"/>
        <v>117.26666666666665</v>
      </c>
      <c r="AM36">
        <f t="shared" si="3"/>
        <v>434050.33333333331</v>
      </c>
      <c r="AN36">
        <f t="shared" si="4"/>
        <v>6.0321639749860969</v>
      </c>
    </row>
    <row r="37" spans="1:40" x14ac:dyDescent="0.2">
      <c r="A37" s="11">
        <v>36</v>
      </c>
      <c r="B37" s="12" t="s">
        <v>173</v>
      </c>
      <c r="C37" s="11">
        <v>17406.9012</v>
      </c>
      <c r="D37" s="11">
        <v>11549.779</v>
      </c>
      <c r="E37" s="11">
        <v>15848.279699999999</v>
      </c>
      <c r="F37" s="11">
        <v>10158.2852</v>
      </c>
      <c r="G37" s="11">
        <v>13691.1147</v>
      </c>
      <c r="H37" s="11">
        <v>8622.2777000000006</v>
      </c>
      <c r="I37" s="11"/>
      <c r="J37" s="13">
        <v>27370</v>
      </c>
      <c r="K37" s="11" t="s">
        <v>174</v>
      </c>
      <c r="L37" s="13">
        <v>29282</v>
      </c>
      <c r="M37">
        <v>138220</v>
      </c>
      <c r="N37" s="13">
        <v>32785</v>
      </c>
      <c r="O37">
        <v>160162</v>
      </c>
      <c r="P37" s="13">
        <v>35397</v>
      </c>
      <c r="Q37">
        <v>179857</v>
      </c>
      <c r="R37" s="11"/>
      <c r="S37">
        <v>1237007</v>
      </c>
      <c r="T37">
        <v>868647</v>
      </c>
      <c r="U37">
        <v>91069</v>
      </c>
      <c r="V37">
        <v>354.17</v>
      </c>
      <c r="W37">
        <v>1211388</v>
      </c>
      <c r="X37">
        <v>850646</v>
      </c>
      <c r="Y37">
        <v>78759</v>
      </c>
      <c r="Z37" s="5">
        <v>307.99</v>
      </c>
      <c r="AA37" s="5">
        <v>1211388</v>
      </c>
      <c r="AB37" s="5">
        <v>850646</v>
      </c>
      <c r="AC37" s="5">
        <v>78759</v>
      </c>
      <c r="AD37" s="5">
        <v>307.99</v>
      </c>
      <c r="AE37" s="5">
        <v>1079230</v>
      </c>
      <c r="AF37" s="5">
        <v>767053</v>
      </c>
      <c r="AG37" s="5">
        <v>99451</v>
      </c>
      <c r="AH37" s="5">
        <v>201</v>
      </c>
      <c r="AJ37">
        <f t="shared" si="0"/>
        <v>159413</v>
      </c>
      <c r="AK37">
        <f t="shared" si="1"/>
        <v>0.64475328750404837</v>
      </c>
      <c r="AL37">
        <f t="shared" si="2"/>
        <v>323.38333333333338</v>
      </c>
      <c r="AM37">
        <f t="shared" si="3"/>
        <v>1219927.6666666667</v>
      </c>
      <c r="AN37">
        <f t="shared" si="4"/>
        <v>7.3620440304703205</v>
      </c>
    </row>
    <row r="38" spans="1:40" x14ac:dyDescent="0.2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</sheetData>
  <mergeCells count="13">
    <mergeCell ref="J1:K1"/>
    <mergeCell ref="A1:A2"/>
    <mergeCell ref="B1:B2"/>
    <mergeCell ref="C1:D1"/>
    <mergeCell ref="E1:F1"/>
    <mergeCell ref="G1:H1"/>
    <mergeCell ref="AE1:AH1"/>
    <mergeCell ref="L1:M1"/>
    <mergeCell ref="N1:O1"/>
    <mergeCell ref="P1:Q1"/>
    <mergeCell ref="S1:V1"/>
    <mergeCell ref="W1:Z1"/>
    <mergeCell ref="AA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FB2F-D9D7-440F-B23A-17481F77C08A}">
  <dimension ref="A1:N36"/>
  <sheetViews>
    <sheetView workbookViewId="0">
      <selection activeCell="N3" sqref="N3"/>
    </sheetView>
  </sheetViews>
  <sheetFormatPr defaultRowHeight="15" x14ac:dyDescent="0.2"/>
  <sheetData>
    <row r="1" spans="1:14" x14ac:dyDescent="0.2">
      <c r="A1" s="21" t="s">
        <v>5</v>
      </c>
      <c r="B1" s="22" t="s">
        <v>14</v>
      </c>
      <c r="C1" s="22" t="s">
        <v>15</v>
      </c>
      <c r="D1" s="22" t="s">
        <v>16</v>
      </c>
      <c r="E1" s="1" t="s">
        <v>175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/>
      <c r="L1" t="s">
        <v>176</v>
      </c>
      <c r="M1" t="s">
        <v>177</v>
      </c>
      <c r="N1" t="s">
        <v>178</v>
      </c>
    </row>
    <row r="2" spans="1:14" x14ac:dyDescent="0.2">
      <c r="A2" s="1" t="s">
        <v>17</v>
      </c>
      <c r="B2" s="8">
        <v>164689.83333333334</v>
      </c>
      <c r="C2" s="8">
        <v>231858.66666666666</v>
      </c>
      <c r="D2" s="8">
        <v>54882</v>
      </c>
      <c r="E2">
        <v>15675.333333333334</v>
      </c>
      <c r="F2">
        <v>233756.66666666666</v>
      </c>
      <c r="G2">
        <v>0.76228191938345224</v>
      </c>
      <c r="H2">
        <v>862.5333333333333</v>
      </c>
      <c r="I2">
        <v>1702374</v>
      </c>
      <c r="J2">
        <v>6.7487238492025288</v>
      </c>
      <c r="L2">
        <f>((B2/(B2+C2+D2)))*100</f>
        <v>36.481769249825462</v>
      </c>
      <c r="M2">
        <f>(D2/(B2+C2+D2))*100</f>
        <v>12.157353125231902</v>
      </c>
      <c r="N2">
        <f>(H2*10^7)/I2</f>
        <v>5066.6500624030523</v>
      </c>
    </row>
    <row r="3" spans="1:14" x14ac:dyDescent="0.2">
      <c r="A3" s="1" t="s">
        <v>18</v>
      </c>
      <c r="B3" s="8">
        <v>51038.166666666664</v>
      </c>
      <c r="C3" s="8">
        <v>111372.11111111111</v>
      </c>
      <c r="D3" s="8">
        <v>21260.333333333332</v>
      </c>
      <c r="E3">
        <v>4538.333333333333</v>
      </c>
      <c r="F3">
        <v>199591.33333333334</v>
      </c>
      <c r="G3">
        <v>0.69571677847203806</v>
      </c>
      <c r="H3">
        <v>197.75666666666666</v>
      </c>
      <c r="I3">
        <v>641543.33333333337</v>
      </c>
      <c r="J3">
        <v>6.6829929458152364</v>
      </c>
      <c r="L3">
        <f t="shared" ref="L3:L35" si="0">((B3/(B3+C3+D3)))*100</f>
        <v>27.787878723717668</v>
      </c>
      <c r="M3">
        <f t="shared" ref="M3:M35" si="1">(D3/(B3+C3+D3))*100</f>
        <v>11.575250501274773</v>
      </c>
      <c r="N3">
        <f t="shared" ref="N3:N35" si="2">(H3*10^7)/I3</f>
        <v>3082.5145612403417</v>
      </c>
    </row>
    <row r="4" spans="1:14" x14ac:dyDescent="0.2">
      <c r="A4" s="1" t="s">
        <v>19</v>
      </c>
      <c r="B4" s="8">
        <v>127854.66666666667</v>
      </c>
      <c r="C4" s="8">
        <v>138864.55555555556</v>
      </c>
      <c r="D4" s="8">
        <v>23117.333333333332</v>
      </c>
      <c r="E4">
        <v>6036.666666666667</v>
      </c>
      <c r="F4">
        <v>188980.66666666666</v>
      </c>
      <c r="G4">
        <v>0.69379048240657781</v>
      </c>
      <c r="H4">
        <v>341.43666666666667</v>
      </c>
      <c r="I4">
        <v>936942.66666666663</v>
      </c>
      <c r="J4">
        <v>6.5898222569430551</v>
      </c>
      <c r="L4">
        <f t="shared" si="0"/>
        <v>44.112678064917048</v>
      </c>
      <c r="M4">
        <f t="shared" si="1"/>
        <v>7.9759895327979864</v>
      </c>
      <c r="N4">
        <f t="shared" si="2"/>
        <v>3644.1575222674601</v>
      </c>
    </row>
    <row r="5" spans="1:14" x14ac:dyDescent="0.2">
      <c r="A5" s="1" t="s">
        <v>20</v>
      </c>
      <c r="B5" s="8">
        <v>70776.166666666672</v>
      </c>
      <c r="C5" s="8">
        <v>60556</v>
      </c>
      <c r="D5" s="8">
        <v>4450.333333333333</v>
      </c>
      <c r="E5">
        <v>5801.333333333333</v>
      </c>
      <c r="F5">
        <v>179132.33333333334</v>
      </c>
      <c r="G5">
        <v>0.73082784667068357</v>
      </c>
      <c r="H5">
        <v>678.95666666666671</v>
      </c>
      <c r="I5">
        <v>1271819</v>
      </c>
      <c r="J5">
        <v>8.1433714313894487</v>
      </c>
      <c r="L5">
        <f t="shared" si="0"/>
        <v>52.124660148890065</v>
      </c>
      <c r="M5">
        <f t="shared" si="1"/>
        <v>3.2775455845439083</v>
      </c>
      <c r="N5">
        <f t="shared" si="2"/>
        <v>5338.4692842823288</v>
      </c>
    </row>
    <row r="6" spans="1:14" x14ac:dyDescent="0.2">
      <c r="A6" s="1" t="s">
        <v>21</v>
      </c>
      <c r="B6" s="8">
        <v>70912.833333333328</v>
      </c>
      <c r="C6" s="8">
        <v>44553.333333333336</v>
      </c>
      <c r="D6" s="8">
        <v>15770</v>
      </c>
      <c r="E6">
        <v>2062</v>
      </c>
      <c r="F6">
        <v>194498.33333333334</v>
      </c>
      <c r="G6">
        <v>0.39196030933609</v>
      </c>
      <c r="H6">
        <v>319.99666666666667</v>
      </c>
      <c r="I6">
        <v>509522.33333333331</v>
      </c>
      <c r="J6">
        <v>5.0104420365731608</v>
      </c>
      <c r="L6">
        <f t="shared" si="0"/>
        <v>54.034520463744116</v>
      </c>
      <c r="M6">
        <f t="shared" si="1"/>
        <v>12.016504596674952</v>
      </c>
      <c r="N6">
        <f t="shared" si="2"/>
        <v>6280.32660655372</v>
      </c>
    </row>
    <row r="7" spans="1:14" x14ac:dyDescent="0.2">
      <c r="A7" s="1" t="s">
        <v>22</v>
      </c>
      <c r="B7" s="8">
        <v>104753.16666666667</v>
      </c>
      <c r="C7" s="8">
        <v>126684.22222222222</v>
      </c>
      <c r="D7" s="8">
        <v>22789.333333333332</v>
      </c>
      <c r="E7">
        <v>5186.666666666667</v>
      </c>
      <c r="F7">
        <v>144434.66666666666</v>
      </c>
      <c r="G7">
        <v>0.76235010198430031</v>
      </c>
      <c r="H7">
        <v>265.53666666666663</v>
      </c>
      <c r="I7">
        <v>940441</v>
      </c>
      <c r="J7">
        <v>4.7775812872238639</v>
      </c>
      <c r="L7">
        <f t="shared" si="0"/>
        <v>41.204624655900979</v>
      </c>
      <c r="M7">
        <f t="shared" si="1"/>
        <v>8.9641769889999772</v>
      </c>
      <c r="N7">
        <f t="shared" si="2"/>
        <v>2823.5334982914042</v>
      </c>
    </row>
    <row r="8" spans="1:14" x14ac:dyDescent="0.2">
      <c r="A8" s="1" t="s">
        <v>23</v>
      </c>
      <c r="B8" s="8">
        <v>70359.5</v>
      </c>
      <c r="C8" s="8">
        <v>113799.11111111111</v>
      </c>
      <c r="D8" s="8">
        <v>24279.333333333332</v>
      </c>
      <c r="E8">
        <v>3918.6666666666665</v>
      </c>
      <c r="F8">
        <v>228032.33333333334</v>
      </c>
      <c r="G8">
        <v>0.42063689577476909</v>
      </c>
      <c r="H8">
        <v>377.43666666666667</v>
      </c>
      <c r="I8">
        <v>695027</v>
      </c>
      <c r="J8">
        <v>5.5372909277560796</v>
      </c>
      <c r="L8">
        <f t="shared" si="0"/>
        <v>33.755610182940138</v>
      </c>
      <c r="M8">
        <f t="shared" si="1"/>
        <v>11.648231034922995</v>
      </c>
      <c r="N8">
        <f t="shared" si="2"/>
        <v>5430.5324349509683</v>
      </c>
    </row>
    <row r="9" spans="1:14" x14ac:dyDescent="0.2">
      <c r="A9" s="1" t="s">
        <v>24</v>
      </c>
      <c r="B9" s="8">
        <v>109310.5</v>
      </c>
      <c r="C9" s="8">
        <v>199628.66666666666</v>
      </c>
      <c r="D9" s="8">
        <v>11066.333333333334</v>
      </c>
      <c r="E9">
        <v>11763</v>
      </c>
      <c r="F9">
        <v>243671</v>
      </c>
      <c r="G9">
        <v>0.83817361092415377</v>
      </c>
      <c r="H9">
        <v>641.34333333333325</v>
      </c>
      <c r="I9">
        <v>1550109</v>
      </c>
      <c r="J9">
        <v>9.334297979930323</v>
      </c>
      <c r="L9">
        <f t="shared" si="0"/>
        <v>34.158944143147544</v>
      </c>
      <c r="M9">
        <f t="shared" si="1"/>
        <v>3.4581697293744442</v>
      </c>
      <c r="N9">
        <f t="shared" si="2"/>
        <v>4137.407971525442</v>
      </c>
    </row>
    <row r="10" spans="1:14" x14ac:dyDescent="0.2">
      <c r="A10" s="1" t="s">
        <v>25</v>
      </c>
      <c r="B10" s="8">
        <v>72381.166666666672</v>
      </c>
      <c r="C10" s="8">
        <v>70931.111111111109</v>
      </c>
      <c r="D10" s="8">
        <v>11507.333333333334</v>
      </c>
      <c r="E10">
        <v>3436.3333333333335</v>
      </c>
      <c r="F10">
        <v>192379.66666666666</v>
      </c>
      <c r="G10">
        <v>0.69684208116392432</v>
      </c>
      <c r="H10">
        <v>426.18</v>
      </c>
      <c r="I10">
        <v>738962.33333333337</v>
      </c>
      <c r="J10">
        <v>9.4918026381911247</v>
      </c>
      <c r="L10">
        <f t="shared" si="0"/>
        <v>46.751936752198702</v>
      </c>
      <c r="M10">
        <f t="shared" si="1"/>
        <v>7.432736234607086</v>
      </c>
      <c r="N10">
        <f t="shared" si="2"/>
        <v>5767.2763654620194</v>
      </c>
    </row>
    <row r="11" spans="1:14" x14ac:dyDescent="0.2">
      <c r="A11" s="1" t="s">
        <v>26</v>
      </c>
      <c r="B11" s="8">
        <v>106336</v>
      </c>
      <c r="C11" s="8">
        <v>90926.666666666672</v>
      </c>
      <c r="D11" s="8">
        <v>17837.666666666668</v>
      </c>
      <c r="E11">
        <v>3752.6666666666665</v>
      </c>
      <c r="F11">
        <v>197101</v>
      </c>
      <c r="G11">
        <v>0.72663774813093385</v>
      </c>
      <c r="H11">
        <v>273.16333333333336</v>
      </c>
      <c r="I11">
        <v>868586</v>
      </c>
      <c r="J11">
        <v>9.6526710504373998</v>
      </c>
      <c r="L11">
        <f t="shared" si="0"/>
        <v>49.435534734953144</v>
      </c>
      <c r="M11">
        <f t="shared" si="1"/>
        <v>8.292719211654715</v>
      </c>
      <c r="N11">
        <f t="shared" si="2"/>
        <v>3144.919827551139</v>
      </c>
    </row>
    <row r="12" spans="1:14" x14ac:dyDescent="0.2">
      <c r="A12" s="1" t="s">
        <v>27</v>
      </c>
      <c r="B12" s="8">
        <v>64437.166666666664</v>
      </c>
      <c r="C12" s="8">
        <v>41173.888888888891</v>
      </c>
      <c r="D12" s="8">
        <v>7248.666666666667</v>
      </c>
      <c r="E12">
        <v>1137.3333333333333</v>
      </c>
      <c r="F12">
        <v>139765.33333333334</v>
      </c>
      <c r="G12">
        <v>0.33278767873430243</v>
      </c>
      <c r="H12">
        <v>205.65333333333334</v>
      </c>
      <c r="I12">
        <v>337900.33333333331</v>
      </c>
      <c r="J12">
        <v>4.5209968974407531</v>
      </c>
      <c r="L12">
        <f t="shared" si="0"/>
        <v>57.094918716695986</v>
      </c>
      <c r="M12">
        <f t="shared" si="1"/>
        <v>6.4227224061334738</v>
      </c>
      <c r="N12">
        <f t="shared" si="2"/>
        <v>6086.2127984484578</v>
      </c>
    </row>
    <row r="13" spans="1:14" x14ac:dyDescent="0.2">
      <c r="A13" s="1" t="s">
        <v>28</v>
      </c>
      <c r="B13" s="8">
        <v>78385.166666666672</v>
      </c>
      <c r="C13" s="8">
        <v>47058.777777777781</v>
      </c>
      <c r="D13" s="8">
        <v>6608.666666666667</v>
      </c>
      <c r="E13">
        <v>2278</v>
      </c>
      <c r="F13">
        <v>185676.33333333334</v>
      </c>
      <c r="G13">
        <v>0.45003487866206826</v>
      </c>
      <c r="H13">
        <v>366.64999999999992</v>
      </c>
      <c r="I13">
        <v>670307.66666666663</v>
      </c>
      <c r="J13">
        <v>6.0906056270863136</v>
      </c>
      <c r="L13">
        <f t="shared" si="0"/>
        <v>59.3590433442563</v>
      </c>
      <c r="M13">
        <f t="shared" si="1"/>
        <v>5.0045709895929527</v>
      </c>
      <c r="N13">
        <f t="shared" si="2"/>
        <v>5469.8762707473124</v>
      </c>
    </row>
    <row r="14" spans="1:14" x14ac:dyDescent="0.2">
      <c r="A14" s="1" t="s">
        <v>29</v>
      </c>
      <c r="B14" s="8">
        <v>36433.833333333336</v>
      </c>
      <c r="C14" s="8">
        <v>59830.111111111109</v>
      </c>
      <c r="D14" s="8">
        <v>3108.3333333333335</v>
      </c>
      <c r="E14">
        <v>2607.6666666666665</v>
      </c>
      <c r="F14">
        <v>150886.33333333334</v>
      </c>
      <c r="G14">
        <v>0.95018461609256344</v>
      </c>
      <c r="H14">
        <v>202.65666666666667</v>
      </c>
      <c r="I14">
        <v>651689</v>
      </c>
      <c r="J14">
        <v>9.1880189411134214</v>
      </c>
      <c r="L14">
        <f t="shared" si="0"/>
        <v>36.663981291451172</v>
      </c>
      <c r="M14">
        <f t="shared" si="1"/>
        <v>3.1279682853646311</v>
      </c>
      <c r="N14">
        <f t="shared" si="2"/>
        <v>3109.7143985346793</v>
      </c>
    </row>
    <row r="15" spans="1:14" x14ac:dyDescent="0.2">
      <c r="A15" s="1" t="s">
        <v>30</v>
      </c>
      <c r="B15" s="8">
        <v>175443.5</v>
      </c>
      <c r="C15" s="8">
        <v>225811.22222222222</v>
      </c>
      <c r="D15" s="8">
        <v>73574</v>
      </c>
      <c r="E15">
        <v>10286</v>
      </c>
      <c r="F15">
        <v>189145.33333333334</v>
      </c>
      <c r="G15">
        <v>0.67582507467260522</v>
      </c>
      <c r="H15">
        <v>582.02333333333331</v>
      </c>
      <c r="I15">
        <v>1603215.6666666667</v>
      </c>
      <c r="J15">
        <v>7.2718780827598364</v>
      </c>
      <c r="L15">
        <f t="shared" si="0"/>
        <v>36.948796858563149</v>
      </c>
      <c r="M15">
        <f t="shared" si="1"/>
        <v>15.494850365342264</v>
      </c>
      <c r="N15">
        <f t="shared" si="2"/>
        <v>3630.3495869863209</v>
      </c>
    </row>
    <row r="16" spans="1:14" x14ac:dyDescent="0.2">
      <c r="A16" s="1" t="s">
        <v>31</v>
      </c>
      <c r="B16" s="8">
        <v>78302</v>
      </c>
      <c r="C16" s="8">
        <v>78851.444444444438</v>
      </c>
      <c r="D16" s="8">
        <v>3065.6666666666665</v>
      </c>
      <c r="E16">
        <v>3840</v>
      </c>
      <c r="F16">
        <v>181707.33333333334</v>
      </c>
      <c r="G16">
        <v>1.2020457781572604</v>
      </c>
      <c r="H16">
        <v>290.61666666666673</v>
      </c>
      <c r="I16">
        <v>848864.66666666663</v>
      </c>
      <c r="J16">
        <v>7.5612728251321686</v>
      </c>
      <c r="L16">
        <f t="shared" si="0"/>
        <v>48.871822753839886</v>
      </c>
      <c r="M16">
        <f t="shared" si="1"/>
        <v>1.9134213424393816</v>
      </c>
      <c r="N16">
        <f t="shared" si="2"/>
        <v>3423.5924532925164</v>
      </c>
    </row>
    <row r="17" spans="1:14" x14ac:dyDescent="0.2">
      <c r="A17" s="1" t="s">
        <v>32</v>
      </c>
      <c r="B17" s="8">
        <v>99839</v>
      </c>
      <c r="C17" s="8">
        <v>235991.33333333334</v>
      </c>
      <c r="D17" s="8">
        <v>98137</v>
      </c>
      <c r="E17">
        <v>13783.333333333334</v>
      </c>
      <c r="F17">
        <v>289956.33333333331</v>
      </c>
      <c r="G17">
        <v>1.5065480033981506</v>
      </c>
      <c r="H17">
        <v>576.28333333333342</v>
      </c>
      <c r="I17">
        <v>1455799</v>
      </c>
      <c r="J17">
        <v>8.1144005240133161</v>
      </c>
      <c r="L17">
        <f t="shared" si="0"/>
        <v>23.006109522836589</v>
      </c>
      <c r="M17">
        <f t="shared" si="1"/>
        <v>22.613914104133794</v>
      </c>
      <c r="N17">
        <f t="shared" si="2"/>
        <v>3958.5364005149981</v>
      </c>
    </row>
    <row r="18" spans="1:14" x14ac:dyDescent="0.2">
      <c r="A18" s="1" t="s">
        <v>33</v>
      </c>
      <c r="B18" s="8">
        <v>64163.666666666664</v>
      </c>
      <c r="C18" s="8">
        <v>121021.77777777778</v>
      </c>
      <c r="D18" s="8">
        <v>23398.666666666668</v>
      </c>
      <c r="E18">
        <v>7494.666666666667</v>
      </c>
      <c r="F18">
        <v>198487.33333333334</v>
      </c>
      <c r="G18">
        <v>0.92672270100480614</v>
      </c>
      <c r="H18">
        <v>369.26666666666671</v>
      </c>
      <c r="I18">
        <v>948286</v>
      </c>
      <c r="J18">
        <v>9.5566597318442312</v>
      </c>
      <c r="L18">
        <f t="shared" si="0"/>
        <v>30.761531319366505</v>
      </c>
      <c r="M18">
        <f t="shared" si="1"/>
        <v>11.217856691971319</v>
      </c>
      <c r="N18">
        <f t="shared" si="2"/>
        <v>3894.0432176228132</v>
      </c>
    </row>
    <row r="19" spans="1:14" x14ac:dyDescent="0.2">
      <c r="A19" s="1" t="s">
        <v>34</v>
      </c>
      <c r="B19" s="8">
        <v>21526.833333333332</v>
      </c>
      <c r="C19" s="8">
        <v>1108536</v>
      </c>
      <c r="D19" s="8">
        <v>936875</v>
      </c>
      <c r="E19">
        <v>219512.66666666666</v>
      </c>
      <c r="F19">
        <v>468840.33333333331</v>
      </c>
      <c r="G19">
        <v>0.96557022365912071</v>
      </c>
      <c r="H19">
        <v>344.48666666666668</v>
      </c>
      <c r="I19">
        <v>613012.33333333337</v>
      </c>
      <c r="J19">
        <v>13.219572800224894</v>
      </c>
      <c r="L19">
        <f t="shared" si="0"/>
        <v>1.0414843149209374</v>
      </c>
      <c r="M19">
        <f t="shared" si="1"/>
        <v>45.326713986801892</v>
      </c>
      <c r="N19">
        <f t="shared" si="2"/>
        <v>5619.5715475001316</v>
      </c>
    </row>
    <row r="20" spans="1:14" x14ac:dyDescent="0.2">
      <c r="A20" s="1" t="s">
        <v>35</v>
      </c>
      <c r="B20" s="8">
        <v>122509.5</v>
      </c>
      <c r="C20" s="8">
        <v>332444.44444444444</v>
      </c>
      <c r="D20" s="8">
        <v>74656.333333333328</v>
      </c>
      <c r="E20">
        <v>18010.333333333332</v>
      </c>
      <c r="F20">
        <v>332138</v>
      </c>
      <c r="G20">
        <v>0.55834398485225745</v>
      </c>
      <c r="H20">
        <v>782.88666666666666</v>
      </c>
      <c r="I20">
        <v>1426539.6666666667</v>
      </c>
      <c r="J20">
        <v>7.4033022500022447</v>
      </c>
      <c r="L20">
        <f t="shared" si="0"/>
        <v>23.132009543705358</v>
      </c>
      <c r="M20">
        <f t="shared" si="1"/>
        <v>14.096466112135916</v>
      </c>
      <c r="N20">
        <f t="shared" si="2"/>
        <v>5488.011900124754</v>
      </c>
    </row>
    <row r="21" spans="1:14" x14ac:dyDescent="0.2">
      <c r="A21" s="1" t="s">
        <v>36</v>
      </c>
      <c r="B21" s="8">
        <v>86498.333333333328</v>
      </c>
      <c r="C21" s="8">
        <v>177409</v>
      </c>
      <c r="D21" s="8">
        <v>12772</v>
      </c>
      <c r="E21">
        <v>6068</v>
      </c>
      <c r="F21">
        <v>179091.33333333334</v>
      </c>
      <c r="G21">
        <v>0.87205880996179752</v>
      </c>
      <c r="H21">
        <v>500.84666666666664</v>
      </c>
      <c r="I21">
        <v>1511285</v>
      </c>
      <c r="J21">
        <v>9.2479460712028647</v>
      </c>
      <c r="L21">
        <f t="shared" si="0"/>
        <v>31.263026512039211</v>
      </c>
      <c r="M21">
        <f t="shared" si="1"/>
        <v>4.6161741992535283</v>
      </c>
      <c r="N21">
        <f t="shared" si="2"/>
        <v>3314.0451117205994</v>
      </c>
    </row>
    <row r="22" spans="1:14" x14ac:dyDescent="0.2">
      <c r="A22" s="1" t="s">
        <v>37</v>
      </c>
      <c r="B22" s="8">
        <v>107127.5</v>
      </c>
      <c r="C22" s="8">
        <v>45778</v>
      </c>
      <c r="D22" s="8">
        <v>9046</v>
      </c>
      <c r="E22">
        <v>1988.6666666666667</v>
      </c>
      <c r="F22">
        <v>133213.66666666666</v>
      </c>
      <c r="G22">
        <v>0.64166387438248051</v>
      </c>
      <c r="H22">
        <v>218.81666666666669</v>
      </c>
      <c r="I22">
        <v>790054.33333333337</v>
      </c>
      <c r="J22">
        <v>7.6078170379043648</v>
      </c>
      <c r="L22">
        <f t="shared" si="0"/>
        <v>66.14788995470866</v>
      </c>
      <c r="M22">
        <f t="shared" si="1"/>
        <v>5.5856228562254753</v>
      </c>
      <c r="N22">
        <f t="shared" si="2"/>
        <v>2769.6407377889204</v>
      </c>
    </row>
    <row r="23" spans="1:14" x14ac:dyDescent="0.2">
      <c r="A23" s="1" t="s">
        <v>38</v>
      </c>
      <c r="B23" s="8">
        <v>251296.83333333334</v>
      </c>
      <c r="C23" s="8">
        <v>306547.55555555556</v>
      </c>
      <c r="D23" s="8">
        <v>100249</v>
      </c>
      <c r="E23">
        <v>20236</v>
      </c>
      <c r="F23">
        <v>262115.66666666666</v>
      </c>
      <c r="G23">
        <v>0.72912140824854144</v>
      </c>
      <c r="H23">
        <v>1240.9166666666667</v>
      </c>
      <c r="I23">
        <v>2377695.6666666665</v>
      </c>
      <c r="J23">
        <v>7.0693756338124549</v>
      </c>
      <c r="L23">
        <f t="shared" si="0"/>
        <v>38.185588485794952</v>
      </c>
      <c r="M23">
        <f t="shared" si="1"/>
        <v>15.233248303748853</v>
      </c>
      <c r="N23">
        <f t="shared" si="2"/>
        <v>5218.9886370375134</v>
      </c>
    </row>
    <row r="24" spans="1:14" x14ac:dyDescent="0.2">
      <c r="A24" s="1" t="s">
        <v>40</v>
      </c>
      <c r="B24" s="8">
        <v>58526.333333333336</v>
      </c>
      <c r="C24" s="8">
        <v>102182</v>
      </c>
      <c r="D24" s="8">
        <v>3561.6666666666665</v>
      </c>
      <c r="E24">
        <v>4916.333333333333</v>
      </c>
      <c r="F24">
        <v>178329.33333333334</v>
      </c>
      <c r="G24">
        <v>0.98495007084223041</v>
      </c>
      <c r="H24">
        <v>296.93666666666667</v>
      </c>
      <c r="I24">
        <v>905952.33333333337</v>
      </c>
      <c r="J24">
        <v>9.1082187764567912</v>
      </c>
      <c r="L24">
        <f t="shared" si="0"/>
        <v>35.628132546011649</v>
      </c>
      <c r="M24">
        <f t="shared" si="1"/>
        <v>2.1681784054706683</v>
      </c>
      <c r="N24">
        <f t="shared" si="2"/>
        <v>3277.6190947500177</v>
      </c>
    </row>
    <row r="25" spans="1:14" x14ac:dyDescent="0.2">
      <c r="A25" s="1" t="s">
        <v>41</v>
      </c>
      <c r="B25" s="8">
        <v>51816.333333333336</v>
      </c>
      <c r="C25" s="8">
        <v>515253.88888888888</v>
      </c>
      <c r="D25" s="8">
        <v>179886.33333333334</v>
      </c>
      <c r="E25">
        <v>59097.666666666664</v>
      </c>
      <c r="F25">
        <v>384183.33333333331</v>
      </c>
      <c r="G25">
        <v>0.73622964164920079</v>
      </c>
      <c r="H25">
        <v>1322.7433333333331</v>
      </c>
      <c r="I25">
        <v>2043083.3333333333</v>
      </c>
      <c r="J25">
        <v>10.146555700776505</v>
      </c>
      <c r="L25">
        <f t="shared" si="0"/>
        <v>6.9369942532727986</v>
      </c>
      <c r="M25">
        <f t="shared" si="1"/>
        <v>24.08256972850868</v>
      </c>
      <c r="N25">
        <f t="shared" si="2"/>
        <v>6474.2505200473133</v>
      </c>
    </row>
    <row r="26" spans="1:14" x14ac:dyDescent="0.2">
      <c r="A26" s="1" t="s">
        <v>42</v>
      </c>
      <c r="B26" s="8">
        <v>91939.333333333328</v>
      </c>
      <c r="C26" s="8">
        <v>162053</v>
      </c>
      <c r="D26" s="8">
        <v>115506.66666666667</v>
      </c>
      <c r="E26">
        <v>6358.666666666667</v>
      </c>
      <c r="F26">
        <v>323753.33333333331</v>
      </c>
      <c r="G26">
        <v>0.59737995821780421</v>
      </c>
      <c r="H26">
        <v>383.31333333333333</v>
      </c>
      <c r="I26">
        <v>661292.66666666663</v>
      </c>
      <c r="J26">
        <v>10.391591744902897</v>
      </c>
      <c r="L26">
        <f t="shared" si="0"/>
        <v>24.882160258440031</v>
      </c>
      <c r="M26">
        <f t="shared" si="1"/>
        <v>31.260346216543667</v>
      </c>
      <c r="N26">
        <f t="shared" si="2"/>
        <v>5796.4249817781138</v>
      </c>
    </row>
    <row r="27" spans="1:14" x14ac:dyDescent="0.2">
      <c r="A27" s="1" t="s">
        <v>43</v>
      </c>
      <c r="B27" s="8">
        <v>45620.666666666664</v>
      </c>
      <c r="C27" s="8">
        <v>101778.66666666667</v>
      </c>
      <c r="D27" s="8">
        <v>43595.333333333336</v>
      </c>
      <c r="E27">
        <v>3794.6666666666665</v>
      </c>
      <c r="F27">
        <v>249516.33333333334</v>
      </c>
      <c r="G27">
        <v>0.54248569325466256</v>
      </c>
      <c r="H27">
        <v>245.05333333333331</v>
      </c>
      <c r="I27">
        <v>394131.33333333331</v>
      </c>
      <c r="J27">
        <v>8.578416706558162</v>
      </c>
      <c r="L27">
        <f t="shared" si="0"/>
        <v>23.885832763218513</v>
      </c>
      <c r="M27">
        <f t="shared" si="1"/>
        <v>22.825419208913335</v>
      </c>
      <c r="N27">
        <f t="shared" si="2"/>
        <v>6217.5552311665988</v>
      </c>
    </row>
    <row r="28" spans="1:14" x14ac:dyDescent="0.2">
      <c r="A28" s="1" t="s">
        <v>44</v>
      </c>
      <c r="B28" s="8">
        <v>48217.5</v>
      </c>
      <c r="C28" s="8">
        <v>193539.66666666666</v>
      </c>
      <c r="D28" s="8">
        <v>80406.666666666672</v>
      </c>
      <c r="E28">
        <v>8600.3333333333339</v>
      </c>
      <c r="F28">
        <v>269504.66666666669</v>
      </c>
      <c r="G28">
        <v>0.72983559293746858</v>
      </c>
      <c r="H28">
        <v>335.84999999999997</v>
      </c>
      <c r="I28">
        <v>944145</v>
      </c>
      <c r="J28">
        <v>9.8890628119882091</v>
      </c>
      <c r="L28">
        <f t="shared" si="0"/>
        <v>14.966763804958452</v>
      </c>
      <c r="M28">
        <f t="shared" si="1"/>
        <v>24.958315722383489</v>
      </c>
      <c r="N28">
        <f t="shared" si="2"/>
        <v>3557.1866609472058</v>
      </c>
    </row>
    <row r="29" spans="1:14" x14ac:dyDescent="0.2">
      <c r="A29" s="1" t="s">
        <v>45</v>
      </c>
      <c r="B29" s="8">
        <v>74583.833333333328</v>
      </c>
      <c r="C29" s="8">
        <v>173287.66666666666</v>
      </c>
      <c r="D29" s="8">
        <v>58226.666666666664</v>
      </c>
      <c r="E29">
        <v>10090</v>
      </c>
      <c r="F29">
        <v>246483.33333333334</v>
      </c>
      <c r="G29">
        <v>0.67841125298818117</v>
      </c>
      <c r="H29">
        <v>366.7166666666667</v>
      </c>
      <c r="I29">
        <v>874930.33333333337</v>
      </c>
      <c r="J29">
        <v>7.8123475618303235</v>
      </c>
      <c r="L29">
        <f t="shared" si="0"/>
        <v>24.365984986297963</v>
      </c>
      <c r="M29">
        <f t="shared" si="1"/>
        <v>19.022219995872781</v>
      </c>
      <c r="N29">
        <f t="shared" si="2"/>
        <v>4191.3813328375481</v>
      </c>
    </row>
    <row r="30" spans="1:14" x14ac:dyDescent="0.2">
      <c r="A30" s="1" t="s">
        <v>46</v>
      </c>
      <c r="B30" s="8">
        <v>33721.833333333336</v>
      </c>
      <c r="C30" s="8">
        <v>48932.111111111109</v>
      </c>
      <c r="D30" s="8">
        <v>22018.333333333332</v>
      </c>
      <c r="E30">
        <v>2243.6666666666665</v>
      </c>
      <c r="F30">
        <v>280161.33333333331</v>
      </c>
      <c r="G30">
        <v>0.38681481212376156</v>
      </c>
      <c r="H30">
        <v>133.49333333333334</v>
      </c>
      <c r="I30">
        <v>196726.66666666666</v>
      </c>
      <c r="J30">
        <v>9.4453917257471058</v>
      </c>
      <c r="L30">
        <f t="shared" si="0"/>
        <v>32.216584991993535</v>
      </c>
      <c r="M30">
        <f t="shared" si="1"/>
        <v>21.035496504699058</v>
      </c>
      <c r="N30">
        <f t="shared" si="2"/>
        <v>6785.7263885594239</v>
      </c>
    </row>
    <row r="31" spans="1:14" x14ac:dyDescent="0.2">
      <c r="A31" s="1" t="s">
        <v>47</v>
      </c>
      <c r="B31" s="8">
        <v>116599.66666666667</v>
      </c>
      <c r="C31" s="8">
        <v>217148.55555555556</v>
      </c>
      <c r="D31" s="8">
        <v>75437</v>
      </c>
      <c r="E31">
        <v>11040</v>
      </c>
      <c r="F31">
        <v>258369</v>
      </c>
      <c r="G31">
        <v>0.86787498730731194</v>
      </c>
      <c r="H31">
        <v>781.81</v>
      </c>
      <c r="I31">
        <v>1729700.6666666667</v>
      </c>
      <c r="J31">
        <v>7.53094656538872</v>
      </c>
      <c r="L31">
        <f t="shared" si="0"/>
        <v>28.495571280270521</v>
      </c>
      <c r="M31">
        <f t="shared" si="1"/>
        <v>18.435905282774684</v>
      </c>
      <c r="N31">
        <f t="shared" si="2"/>
        <v>4519.915006488598</v>
      </c>
    </row>
    <row r="32" spans="1:14" x14ac:dyDescent="0.2">
      <c r="A32" s="1" t="s">
        <v>48</v>
      </c>
      <c r="B32" s="8">
        <v>53407.666666666664</v>
      </c>
      <c r="C32" s="8">
        <v>31398.888888888891</v>
      </c>
      <c r="D32" s="8">
        <v>4071.6666666666665</v>
      </c>
      <c r="E32">
        <v>28125.333333333332</v>
      </c>
      <c r="F32">
        <v>401583</v>
      </c>
      <c r="G32">
        <v>0.55105682081321061</v>
      </c>
      <c r="H32">
        <v>732.69333333333327</v>
      </c>
      <c r="I32">
        <v>1583968</v>
      </c>
      <c r="J32">
        <v>12.652697059443115</v>
      </c>
      <c r="L32">
        <f t="shared" si="0"/>
        <v>60.090835900308029</v>
      </c>
      <c r="M32">
        <f t="shared" si="1"/>
        <v>4.5811747409689154</v>
      </c>
      <c r="N32">
        <f t="shared" si="2"/>
        <v>4625.6826737240481</v>
      </c>
    </row>
    <row r="33" spans="1:14" x14ac:dyDescent="0.2">
      <c r="A33" s="1" t="s">
        <v>49</v>
      </c>
      <c r="B33" s="8">
        <v>46258.333333333336</v>
      </c>
      <c r="C33" s="8">
        <v>72991.333333333328</v>
      </c>
      <c r="D33" s="8">
        <v>11706.333333333334</v>
      </c>
      <c r="E33">
        <v>3237.6666666666665</v>
      </c>
      <c r="F33">
        <v>229224.66666666666</v>
      </c>
      <c r="G33">
        <v>0.80214517911455474</v>
      </c>
      <c r="H33">
        <v>193.30333333333331</v>
      </c>
      <c r="I33">
        <v>374393.66666666669</v>
      </c>
      <c r="J33">
        <v>7.468452702080346</v>
      </c>
      <c r="L33">
        <f t="shared" si="0"/>
        <v>35.323569239541023</v>
      </c>
      <c r="M33">
        <f t="shared" si="1"/>
        <v>8.9391347730026389</v>
      </c>
      <c r="N33">
        <f t="shared" si="2"/>
        <v>5163.1037205935627</v>
      </c>
    </row>
    <row r="34" spans="1:14" x14ac:dyDescent="0.2">
      <c r="A34" s="1" t="s">
        <v>50</v>
      </c>
      <c r="B34" s="8">
        <v>57970</v>
      </c>
      <c r="C34" s="8">
        <v>55484.888888888891</v>
      </c>
      <c r="D34" s="8">
        <v>12960.666666666666</v>
      </c>
      <c r="E34">
        <v>2655.3333333333335</v>
      </c>
      <c r="F34">
        <v>138255</v>
      </c>
      <c r="G34">
        <v>0.96847788262746271</v>
      </c>
      <c r="H34">
        <v>117.26666666666665</v>
      </c>
      <c r="I34">
        <v>434050.33333333331</v>
      </c>
      <c r="J34">
        <v>6.0321639749860969</v>
      </c>
      <c r="L34">
        <f t="shared" si="0"/>
        <v>45.856698366937962</v>
      </c>
      <c r="M34">
        <f t="shared" si="1"/>
        <v>10.252430256473358</v>
      </c>
      <c r="N34">
        <f t="shared" si="2"/>
        <v>2701.6835989067317</v>
      </c>
    </row>
    <row r="35" spans="1:14" x14ac:dyDescent="0.2">
      <c r="A35" s="1" t="s">
        <v>51</v>
      </c>
      <c r="B35" s="8">
        <v>137982.16666666666</v>
      </c>
      <c r="C35" s="8">
        <v>133251.44444444444</v>
      </c>
      <c r="D35" s="8">
        <v>21412.333333333332</v>
      </c>
      <c r="E35">
        <v>5069</v>
      </c>
      <c r="F35">
        <v>159413</v>
      </c>
      <c r="G35">
        <v>0.64475328750404837</v>
      </c>
      <c r="H35">
        <v>323.38333333333338</v>
      </c>
      <c r="I35">
        <v>1219927.6666666667</v>
      </c>
      <c r="J35">
        <v>7.3620440304703205</v>
      </c>
      <c r="L35">
        <f t="shared" si="0"/>
        <v>47.149864635442107</v>
      </c>
      <c r="M35">
        <f t="shared" si="1"/>
        <v>7.3168050813013146</v>
      </c>
      <c r="N35">
        <f t="shared" si="2"/>
        <v>2650.8402274123905</v>
      </c>
    </row>
    <row r="36" spans="1:14" x14ac:dyDescent="0.2">
      <c r="A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5244-AFD3-4719-BAC3-7AC7E7F50BE8}">
  <dimension ref="A1:L36"/>
  <sheetViews>
    <sheetView workbookViewId="0">
      <selection activeCell="E2" sqref="E2"/>
    </sheetView>
  </sheetViews>
  <sheetFormatPr defaultRowHeight="15" x14ac:dyDescent="0.2"/>
  <sheetData>
    <row r="1" spans="1:12" x14ac:dyDescent="0.2">
      <c r="A1" s="21" t="s">
        <v>5</v>
      </c>
      <c r="B1" t="s">
        <v>176</v>
      </c>
      <c r="C1" t="s">
        <v>177</v>
      </c>
      <c r="D1" t="s">
        <v>178</v>
      </c>
      <c r="E1" t="s">
        <v>175</v>
      </c>
      <c r="F1" t="s">
        <v>82</v>
      </c>
      <c r="G1" t="s">
        <v>83</v>
      </c>
      <c r="H1" t="s">
        <v>86</v>
      </c>
      <c r="J1" t="s">
        <v>179</v>
      </c>
      <c r="K1" t="s">
        <v>180</v>
      </c>
      <c r="L1" t="s">
        <v>181</v>
      </c>
    </row>
    <row r="2" spans="1:12" x14ac:dyDescent="0.2">
      <c r="A2" s="1" t="s">
        <v>17</v>
      </c>
      <c r="B2">
        <v>36.481769249825462</v>
      </c>
      <c r="C2">
        <v>12.157353125231902</v>
      </c>
      <c r="D2">
        <v>5066.6500624030523</v>
      </c>
      <c r="E2">
        <v>15675.333333333334</v>
      </c>
      <c r="F2">
        <v>233756.66666666666</v>
      </c>
      <c r="G2">
        <v>0.76228191938345224</v>
      </c>
      <c r="H2">
        <v>6.7487238492025288</v>
      </c>
      <c r="J2">
        <f>LN(C2)</f>
        <v>2.4979341822219561</v>
      </c>
      <c r="K2">
        <f>LN(E2)</f>
        <v>9.6598436305594415</v>
      </c>
      <c r="L2">
        <f>LN(F2)</f>
        <v>12.36203596724334</v>
      </c>
    </row>
    <row r="3" spans="1:12" x14ac:dyDescent="0.2">
      <c r="A3" s="1" t="s">
        <v>18</v>
      </c>
      <c r="B3">
        <v>27.787878723717668</v>
      </c>
      <c r="C3">
        <v>11.575250501274773</v>
      </c>
      <c r="D3">
        <v>3082.5145612403417</v>
      </c>
      <c r="E3">
        <v>4538.333333333333</v>
      </c>
      <c r="F3">
        <v>199591.33333333334</v>
      </c>
      <c r="G3">
        <v>0.69571677847203806</v>
      </c>
      <c r="H3">
        <v>6.6829929458152364</v>
      </c>
      <c r="J3">
        <f t="shared" ref="J3:J35" si="0">LN(C3)</f>
        <v>2.4488692413169364</v>
      </c>
      <c r="K3">
        <f t="shared" ref="K3:K35" si="1">LN(E3)</f>
        <v>8.4203151164397507</v>
      </c>
      <c r="L3">
        <f t="shared" ref="L3:L35" si="2">LN(F3)</f>
        <v>12.204027221743138</v>
      </c>
    </row>
    <row r="4" spans="1:12" x14ac:dyDescent="0.2">
      <c r="A4" s="1" t="s">
        <v>19</v>
      </c>
      <c r="B4">
        <v>44.112678064917048</v>
      </c>
      <c r="C4">
        <v>7.9759895327979864</v>
      </c>
      <c r="D4">
        <v>3644.1575222674601</v>
      </c>
      <c r="E4">
        <v>6036.666666666667</v>
      </c>
      <c r="F4">
        <v>188980.66666666666</v>
      </c>
      <c r="G4">
        <v>0.69379048240657781</v>
      </c>
      <c r="H4">
        <v>6.5898222569430551</v>
      </c>
      <c r="J4">
        <f t="shared" si="0"/>
        <v>2.0764357203214128</v>
      </c>
      <c r="K4">
        <f t="shared" si="1"/>
        <v>8.7056072622093499</v>
      </c>
      <c r="L4">
        <f t="shared" si="2"/>
        <v>12.149399996040557</v>
      </c>
    </row>
    <row r="5" spans="1:12" x14ac:dyDescent="0.2">
      <c r="A5" s="1" t="s">
        <v>20</v>
      </c>
      <c r="B5">
        <v>52.124660148890065</v>
      </c>
      <c r="C5">
        <v>3.2775455845439083</v>
      </c>
      <c r="D5">
        <v>5338.4692842823288</v>
      </c>
      <c r="E5">
        <v>5801.333333333333</v>
      </c>
      <c r="F5">
        <v>179132.33333333334</v>
      </c>
      <c r="G5">
        <v>0.73082784667068357</v>
      </c>
      <c r="H5">
        <v>8.1433714313894487</v>
      </c>
      <c r="J5">
        <f t="shared" si="0"/>
        <v>1.1870948448866587</v>
      </c>
      <c r="K5">
        <f t="shared" si="1"/>
        <v>8.665843055172461</v>
      </c>
      <c r="L5">
        <f t="shared" si="2"/>
        <v>12.095880104045895</v>
      </c>
    </row>
    <row r="6" spans="1:12" x14ac:dyDescent="0.2">
      <c r="A6" s="1" t="s">
        <v>21</v>
      </c>
      <c r="B6">
        <v>54.034520463744116</v>
      </c>
      <c r="C6">
        <v>12.016504596674952</v>
      </c>
      <c r="D6">
        <v>6280.32660655372</v>
      </c>
      <c r="E6">
        <v>2062</v>
      </c>
      <c r="F6">
        <v>194498.33333333334</v>
      </c>
      <c r="G6">
        <v>0.39196030933609</v>
      </c>
      <c r="H6">
        <v>5.0104420365731608</v>
      </c>
      <c r="J6">
        <f t="shared" si="0"/>
        <v>2.4862810878713377</v>
      </c>
      <c r="K6">
        <f t="shared" si="1"/>
        <v>7.6314316645769056</v>
      </c>
      <c r="L6">
        <f t="shared" si="2"/>
        <v>12.178178873023633</v>
      </c>
    </row>
    <row r="7" spans="1:12" x14ac:dyDescent="0.2">
      <c r="A7" s="1" t="s">
        <v>22</v>
      </c>
      <c r="B7">
        <v>41.204624655900979</v>
      </c>
      <c r="C7">
        <v>8.9641769889999772</v>
      </c>
      <c r="D7">
        <v>2823.5334982914042</v>
      </c>
      <c r="E7">
        <v>5186.666666666667</v>
      </c>
      <c r="F7">
        <v>144434.66666666666</v>
      </c>
      <c r="G7">
        <v>0.76235010198430031</v>
      </c>
      <c r="H7">
        <v>4.7775812872238639</v>
      </c>
      <c r="J7">
        <f t="shared" si="0"/>
        <v>2.1932363001658923</v>
      </c>
      <c r="K7">
        <f t="shared" si="1"/>
        <v>8.5538465090642735</v>
      </c>
      <c r="L7">
        <f t="shared" si="2"/>
        <v>11.880582550496626</v>
      </c>
    </row>
    <row r="8" spans="1:12" x14ac:dyDescent="0.2">
      <c r="A8" s="1" t="s">
        <v>23</v>
      </c>
      <c r="B8">
        <v>33.755610182940138</v>
      </c>
      <c r="C8">
        <v>11.648231034922995</v>
      </c>
      <c r="D8">
        <v>5430.5324349509683</v>
      </c>
      <c r="E8">
        <v>3918.6666666666665</v>
      </c>
      <c r="F8">
        <v>228032.33333333334</v>
      </c>
      <c r="G8">
        <v>0.42063689577476909</v>
      </c>
      <c r="H8">
        <v>5.5372909277560796</v>
      </c>
      <c r="J8">
        <f t="shared" si="0"/>
        <v>2.4551543259865904</v>
      </c>
      <c r="K8">
        <f t="shared" si="1"/>
        <v>8.2735067388706991</v>
      </c>
      <c r="L8">
        <f t="shared" si="2"/>
        <v>12.337242710747581</v>
      </c>
    </row>
    <row r="9" spans="1:12" x14ac:dyDescent="0.2">
      <c r="A9" s="1" t="s">
        <v>24</v>
      </c>
      <c r="B9">
        <v>34.158944143147544</v>
      </c>
      <c r="C9">
        <v>3.4581697293744442</v>
      </c>
      <c r="D9">
        <v>4137.407971525442</v>
      </c>
      <c r="E9">
        <v>11763</v>
      </c>
      <c r="F9">
        <v>243671</v>
      </c>
      <c r="G9">
        <v>0.83817361092415377</v>
      </c>
      <c r="H9">
        <v>9.334297979930323</v>
      </c>
      <c r="J9">
        <f t="shared" si="0"/>
        <v>1.2407394691607976</v>
      </c>
      <c r="K9">
        <f t="shared" si="1"/>
        <v>9.3727142909604417</v>
      </c>
      <c r="L9">
        <f t="shared" si="2"/>
        <v>12.403574233763404</v>
      </c>
    </row>
    <row r="10" spans="1:12" x14ac:dyDescent="0.2">
      <c r="A10" s="1" t="s">
        <v>25</v>
      </c>
      <c r="B10">
        <v>46.751936752198702</v>
      </c>
      <c r="C10">
        <v>7.432736234607086</v>
      </c>
      <c r="D10">
        <v>5767.2763654620194</v>
      </c>
      <c r="E10">
        <v>3436.3333333333335</v>
      </c>
      <c r="F10">
        <v>192379.66666666666</v>
      </c>
      <c r="G10">
        <v>0.69684208116392432</v>
      </c>
      <c r="H10">
        <v>9.4918026381911247</v>
      </c>
      <c r="J10">
        <f t="shared" si="0"/>
        <v>2.0058940593886594</v>
      </c>
      <c r="K10">
        <f t="shared" si="1"/>
        <v>8.1421602904282757</v>
      </c>
      <c r="L10">
        <f t="shared" si="2"/>
        <v>12.167226129023261</v>
      </c>
    </row>
    <row r="11" spans="1:12" x14ac:dyDescent="0.2">
      <c r="A11" s="1" t="s">
        <v>26</v>
      </c>
      <c r="B11">
        <v>49.435534734953144</v>
      </c>
      <c r="C11">
        <v>8.292719211654715</v>
      </c>
      <c r="D11">
        <v>3144.919827551139</v>
      </c>
      <c r="E11">
        <v>3752.6666666666665</v>
      </c>
      <c r="F11">
        <v>197101</v>
      </c>
      <c r="G11">
        <v>0.72663774813093385</v>
      </c>
      <c r="H11">
        <v>9.6526710504373998</v>
      </c>
      <c r="J11">
        <f t="shared" si="0"/>
        <v>2.1153779264193955</v>
      </c>
      <c r="K11">
        <f t="shared" si="1"/>
        <v>8.2302219773558623</v>
      </c>
      <c r="L11">
        <f t="shared" si="2"/>
        <v>12.191471566694659</v>
      </c>
    </row>
    <row r="12" spans="1:12" x14ac:dyDescent="0.2">
      <c r="A12" s="1" t="s">
        <v>27</v>
      </c>
      <c r="B12">
        <v>57.094918716695986</v>
      </c>
      <c r="C12">
        <v>6.4227224061334738</v>
      </c>
      <c r="D12">
        <v>6086.2127984484578</v>
      </c>
      <c r="E12">
        <v>1137.3333333333333</v>
      </c>
      <c r="F12">
        <v>139765.33333333334</v>
      </c>
      <c r="G12">
        <v>0.33278767873430243</v>
      </c>
      <c r="H12">
        <v>4.5209968974407531</v>
      </c>
      <c r="J12">
        <f t="shared" si="0"/>
        <v>1.8598420786173453</v>
      </c>
      <c r="K12">
        <f t="shared" si="1"/>
        <v>7.0364416199434601</v>
      </c>
      <c r="L12">
        <f t="shared" si="2"/>
        <v>11.847720104736203</v>
      </c>
    </row>
    <row r="13" spans="1:12" x14ac:dyDescent="0.2">
      <c r="A13" s="1" t="s">
        <v>28</v>
      </c>
      <c r="B13">
        <v>59.3590433442563</v>
      </c>
      <c r="C13">
        <v>5.0045709895929527</v>
      </c>
      <c r="D13">
        <v>5469.8762707473124</v>
      </c>
      <c r="E13">
        <v>2278</v>
      </c>
      <c r="F13">
        <v>185676.33333333334</v>
      </c>
      <c r="G13">
        <v>0.45003487866206826</v>
      </c>
      <c r="H13">
        <v>6.0906056270863136</v>
      </c>
      <c r="J13">
        <f t="shared" si="0"/>
        <v>1.6103516927282819</v>
      </c>
      <c r="K13">
        <f t="shared" si="1"/>
        <v>7.7310531440071273</v>
      </c>
      <c r="L13">
        <f t="shared" si="2"/>
        <v>12.131760293517953</v>
      </c>
    </row>
    <row r="14" spans="1:12" x14ac:dyDescent="0.2">
      <c r="A14" s="1" t="s">
        <v>29</v>
      </c>
      <c r="B14">
        <v>36.663981291451172</v>
      </c>
      <c r="C14">
        <v>3.1279682853646311</v>
      </c>
      <c r="D14">
        <v>3109.7143985346793</v>
      </c>
      <c r="E14">
        <v>2607.6666666666665</v>
      </c>
      <c r="F14">
        <v>150886.33333333334</v>
      </c>
      <c r="G14">
        <v>0.95018461609256344</v>
      </c>
      <c r="H14">
        <v>9.1880189411134214</v>
      </c>
      <c r="J14">
        <f t="shared" si="0"/>
        <v>1.1403836836817389</v>
      </c>
      <c r="K14">
        <f t="shared" si="1"/>
        <v>7.8662111030169708</v>
      </c>
      <c r="L14">
        <f t="shared" si="2"/>
        <v>11.924282072949556</v>
      </c>
    </row>
    <row r="15" spans="1:12" x14ac:dyDescent="0.2">
      <c r="A15" s="1" t="s">
        <v>30</v>
      </c>
      <c r="B15">
        <v>36.948796858563149</v>
      </c>
      <c r="C15">
        <v>15.494850365342264</v>
      </c>
      <c r="D15">
        <v>3630.3495869863209</v>
      </c>
      <c r="E15">
        <v>10286</v>
      </c>
      <c r="F15">
        <v>189145.33333333334</v>
      </c>
      <c r="G15">
        <v>0.67582507467260522</v>
      </c>
      <c r="H15">
        <v>7.2718780827598364</v>
      </c>
      <c r="J15">
        <f t="shared" si="0"/>
        <v>2.7405077342290469</v>
      </c>
      <c r="K15">
        <f t="shared" si="1"/>
        <v>9.2385390263348608</v>
      </c>
      <c r="L15">
        <f t="shared" si="2"/>
        <v>12.150270957979574</v>
      </c>
    </row>
    <row r="16" spans="1:12" x14ac:dyDescent="0.2">
      <c r="A16" s="1" t="s">
        <v>31</v>
      </c>
      <c r="B16">
        <v>48.871822753839886</v>
      </c>
      <c r="C16">
        <v>1.9134213424393816</v>
      </c>
      <c r="D16">
        <v>3423.5924532925164</v>
      </c>
      <c r="E16">
        <v>3840</v>
      </c>
      <c r="F16">
        <v>181707.33333333334</v>
      </c>
      <c r="G16">
        <v>1.2020457781572604</v>
      </c>
      <c r="H16">
        <v>7.5612728251321686</v>
      </c>
      <c r="J16">
        <f t="shared" si="0"/>
        <v>0.64889291839611696</v>
      </c>
      <c r="K16">
        <f t="shared" si="1"/>
        <v>8.2532276455817719</v>
      </c>
      <c r="L16">
        <f t="shared" si="2"/>
        <v>12.11015261313689</v>
      </c>
    </row>
    <row r="17" spans="1:12" x14ac:dyDescent="0.2">
      <c r="A17" s="1" t="s">
        <v>32</v>
      </c>
      <c r="B17">
        <v>23.006109522836589</v>
      </c>
      <c r="C17">
        <v>22.613914104133794</v>
      </c>
      <c r="D17">
        <v>3958.5364005149981</v>
      </c>
      <c r="E17">
        <v>13783.333333333334</v>
      </c>
      <c r="F17">
        <v>289956.33333333331</v>
      </c>
      <c r="G17">
        <v>1.5065480033981506</v>
      </c>
      <c r="H17">
        <v>8.1144005240133161</v>
      </c>
      <c r="J17">
        <f t="shared" si="0"/>
        <v>3.1185653851567547</v>
      </c>
      <c r="K17">
        <f t="shared" si="1"/>
        <v>9.5312154117837284</v>
      </c>
      <c r="L17">
        <f t="shared" si="2"/>
        <v>12.577485615912503</v>
      </c>
    </row>
    <row r="18" spans="1:12" x14ac:dyDescent="0.2">
      <c r="A18" s="1" t="s">
        <v>33</v>
      </c>
      <c r="B18">
        <v>30.761531319366505</v>
      </c>
      <c r="C18">
        <v>11.217856691971319</v>
      </c>
      <c r="D18">
        <v>3894.0432176228132</v>
      </c>
      <c r="E18">
        <v>7494.666666666667</v>
      </c>
      <c r="F18">
        <v>198487.33333333334</v>
      </c>
      <c r="G18">
        <v>0.92672270100480614</v>
      </c>
      <c r="H18">
        <v>9.5566597318442312</v>
      </c>
      <c r="J18">
        <f t="shared" si="0"/>
        <v>2.4175068561758173</v>
      </c>
      <c r="K18">
        <f t="shared" si="1"/>
        <v>8.9219469354538568</v>
      </c>
      <c r="L18">
        <f t="shared" si="2"/>
        <v>12.198480565150561</v>
      </c>
    </row>
    <row r="19" spans="1:12" x14ac:dyDescent="0.2">
      <c r="A19" s="1" t="s">
        <v>34</v>
      </c>
      <c r="B19">
        <v>1.0414843149209374</v>
      </c>
      <c r="C19">
        <v>45.326713986801892</v>
      </c>
      <c r="D19">
        <v>5619.5715475001316</v>
      </c>
      <c r="E19">
        <v>219512.66666666666</v>
      </c>
      <c r="F19">
        <v>468840.33333333331</v>
      </c>
      <c r="G19">
        <v>0.96557022365912071</v>
      </c>
      <c r="H19">
        <v>13.219572800224894</v>
      </c>
      <c r="J19">
        <f t="shared" si="0"/>
        <v>3.8138965714096975</v>
      </c>
      <c r="K19">
        <f t="shared" si="1"/>
        <v>12.299165216742027</v>
      </c>
      <c r="L19">
        <f t="shared" si="2"/>
        <v>13.058017548811467</v>
      </c>
    </row>
    <row r="20" spans="1:12" x14ac:dyDescent="0.2">
      <c r="A20" s="1" t="s">
        <v>35</v>
      </c>
      <c r="B20">
        <v>23.132009543705358</v>
      </c>
      <c r="C20">
        <v>14.096466112135916</v>
      </c>
      <c r="D20">
        <v>5488.011900124754</v>
      </c>
      <c r="E20">
        <v>18010.333333333332</v>
      </c>
      <c r="F20">
        <v>332138</v>
      </c>
      <c r="G20">
        <v>0.55834398485225745</v>
      </c>
      <c r="H20">
        <v>7.4033022500022447</v>
      </c>
      <c r="J20">
        <f t="shared" si="0"/>
        <v>2.6459241356261183</v>
      </c>
      <c r="K20">
        <f t="shared" si="1"/>
        <v>9.7987009462348915</v>
      </c>
      <c r="L20">
        <f t="shared" si="2"/>
        <v>12.71330582418544</v>
      </c>
    </row>
    <row r="21" spans="1:12" x14ac:dyDescent="0.2">
      <c r="A21" s="1" t="s">
        <v>36</v>
      </c>
      <c r="B21">
        <v>31.263026512039211</v>
      </c>
      <c r="C21">
        <v>4.6161741992535283</v>
      </c>
      <c r="D21">
        <v>3314.0451117205994</v>
      </c>
      <c r="E21">
        <v>6068</v>
      </c>
      <c r="F21">
        <v>179091.33333333334</v>
      </c>
      <c r="G21">
        <v>0.87205880996179752</v>
      </c>
      <c r="H21">
        <v>9.2479460712028647</v>
      </c>
      <c r="J21">
        <f t="shared" si="0"/>
        <v>1.5295662666335785</v>
      </c>
      <c r="K21">
        <f t="shared" si="1"/>
        <v>8.7107843404684235</v>
      </c>
      <c r="L21">
        <f t="shared" si="2"/>
        <v>12.095651196779324</v>
      </c>
    </row>
    <row r="22" spans="1:12" x14ac:dyDescent="0.2">
      <c r="A22" s="1" t="s">
        <v>37</v>
      </c>
      <c r="B22">
        <v>66.14788995470866</v>
      </c>
      <c r="C22">
        <v>5.5856228562254753</v>
      </c>
      <c r="D22">
        <v>2769.6407377889204</v>
      </c>
      <c r="E22">
        <v>1988.6666666666667</v>
      </c>
      <c r="F22">
        <v>133213.66666666666</v>
      </c>
      <c r="G22">
        <v>0.64166387438248051</v>
      </c>
      <c r="H22">
        <v>7.6078170379043648</v>
      </c>
      <c r="J22">
        <f t="shared" si="0"/>
        <v>1.7201959493513601</v>
      </c>
      <c r="K22">
        <f t="shared" si="1"/>
        <v>7.5952196764065842</v>
      </c>
      <c r="L22">
        <f t="shared" si="2"/>
        <v>11.799709634427741</v>
      </c>
    </row>
    <row r="23" spans="1:12" x14ac:dyDescent="0.2">
      <c r="A23" s="1" t="s">
        <v>38</v>
      </c>
      <c r="B23">
        <v>38.185588485794952</v>
      </c>
      <c r="C23">
        <v>15.233248303748853</v>
      </c>
      <c r="D23">
        <v>5218.9886370375134</v>
      </c>
      <c r="E23">
        <v>20236</v>
      </c>
      <c r="F23">
        <v>262115.66666666666</v>
      </c>
      <c r="G23">
        <v>0.72912140824854144</v>
      </c>
      <c r="H23">
        <v>7.0693756338124549</v>
      </c>
      <c r="J23">
        <f t="shared" si="0"/>
        <v>2.7234804274056734</v>
      </c>
      <c r="K23">
        <f t="shared" si="1"/>
        <v>9.9152184754118267</v>
      </c>
      <c r="L23">
        <f t="shared" si="2"/>
        <v>12.476541161148425</v>
      </c>
    </row>
    <row r="24" spans="1:12" x14ac:dyDescent="0.2">
      <c r="A24" s="1" t="s">
        <v>40</v>
      </c>
      <c r="B24">
        <v>35.628132546011649</v>
      </c>
      <c r="C24">
        <v>2.1681784054706683</v>
      </c>
      <c r="D24">
        <v>3277.6190947500177</v>
      </c>
      <c r="E24">
        <v>4916.333333333333</v>
      </c>
      <c r="F24">
        <v>178329.33333333334</v>
      </c>
      <c r="G24">
        <v>0.98495007084223041</v>
      </c>
      <c r="H24">
        <v>9.1082187764567912</v>
      </c>
      <c r="J24">
        <f t="shared" si="0"/>
        <v>0.77388737053798418</v>
      </c>
      <c r="K24">
        <f t="shared" si="1"/>
        <v>8.5003182741913932</v>
      </c>
      <c r="L24">
        <f t="shared" si="2"/>
        <v>12.091387307051939</v>
      </c>
    </row>
    <row r="25" spans="1:12" x14ac:dyDescent="0.2">
      <c r="A25" s="1" t="s">
        <v>41</v>
      </c>
      <c r="B25">
        <v>6.9369942532727986</v>
      </c>
      <c r="C25">
        <v>24.08256972850868</v>
      </c>
      <c r="D25">
        <v>6474.2505200473133</v>
      </c>
      <c r="E25">
        <v>59097.666666666664</v>
      </c>
      <c r="F25">
        <v>384183.33333333331</v>
      </c>
      <c r="G25">
        <v>0.73622964164920079</v>
      </c>
      <c r="H25">
        <v>10.146555700776505</v>
      </c>
      <c r="J25">
        <f t="shared" si="0"/>
        <v>3.1814883310470354</v>
      </c>
      <c r="K25">
        <f t="shared" si="1"/>
        <v>10.98694672150932</v>
      </c>
      <c r="L25">
        <f t="shared" si="2"/>
        <v>12.858875148191714</v>
      </c>
    </row>
    <row r="26" spans="1:12" x14ac:dyDescent="0.2">
      <c r="A26" s="1" t="s">
        <v>42</v>
      </c>
      <c r="B26">
        <v>24.882160258440031</v>
      </c>
      <c r="C26">
        <v>31.260346216543667</v>
      </c>
      <c r="D26">
        <v>5796.4249817781138</v>
      </c>
      <c r="E26">
        <v>6358.666666666667</v>
      </c>
      <c r="F26">
        <v>323753.33333333331</v>
      </c>
      <c r="G26">
        <v>0.59737995821780421</v>
      </c>
      <c r="H26">
        <v>10.391591744902897</v>
      </c>
      <c r="J26">
        <f t="shared" si="0"/>
        <v>3.4423504003172729</v>
      </c>
      <c r="K26">
        <f t="shared" si="1"/>
        <v>8.7575739907500054</v>
      </c>
      <c r="L26">
        <f t="shared" si="2"/>
        <v>12.687737187953177</v>
      </c>
    </row>
    <row r="27" spans="1:12" x14ac:dyDescent="0.2">
      <c r="A27" s="1" t="s">
        <v>43</v>
      </c>
      <c r="B27">
        <v>23.885832763218513</v>
      </c>
      <c r="C27">
        <v>22.825419208913335</v>
      </c>
      <c r="D27">
        <v>6217.5552311665988</v>
      </c>
      <c r="E27">
        <v>3794.6666666666665</v>
      </c>
      <c r="F27">
        <v>249516.33333333334</v>
      </c>
      <c r="G27">
        <v>0.54248569325466256</v>
      </c>
      <c r="H27">
        <v>8.578416706558162</v>
      </c>
      <c r="J27">
        <f t="shared" si="0"/>
        <v>3.1278747925298269</v>
      </c>
      <c r="K27">
        <f t="shared" si="1"/>
        <v>8.2413518511015784</v>
      </c>
      <c r="L27">
        <f t="shared" si="2"/>
        <v>12.427279656292876</v>
      </c>
    </row>
    <row r="28" spans="1:12" x14ac:dyDescent="0.2">
      <c r="A28" s="1" t="s">
        <v>44</v>
      </c>
      <c r="B28">
        <v>14.966763804958452</v>
      </c>
      <c r="C28">
        <v>24.958315722383489</v>
      </c>
      <c r="D28">
        <v>3557.1866609472058</v>
      </c>
      <c r="E28">
        <v>8600.3333333333339</v>
      </c>
      <c r="F28">
        <v>269504.66666666669</v>
      </c>
      <c r="G28">
        <v>0.72983559293746858</v>
      </c>
      <c r="H28">
        <v>9.8890628119882091</v>
      </c>
      <c r="J28">
        <f t="shared" si="0"/>
        <v>3.2172070621532378</v>
      </c>
      <c r="K28">
        <f t="shared" si="1"/>
        <v>9.0595562411803847</v>
      </c>
      <c r="L28">
        <f t="shared" si="2"/>
        <v>12.504340985198585</v>
      </c>
    </row>
    <row r="29" spans="1:12" x14ac:dyDescent="0.2">
      <c r="A29" s="1" t="s">
        <v>45</v>
      </c>
      <c r="B29">
        <v>24.365984986297963</v>
      </c>
      <c r="C29">
        <v>19.022219995872781</v>
      </c>
      <c r="D29">
        <v>4191.3813328375481</v>
      </c>
      <c r="E29">
        <v>10090</v>
      </c>
      <c r="F29">
        <v>246483.33333333334</v>
      </c>
      <c r="G29">
        <v>0.67841125298818117</v>
      </c>
      <c r="H29">
        <v>7.8123475618303235</v>
      </c>
      <c r="J29">
        <f t="shared" si="0"/>
        <v>2.9456077693320175</v>
      </c>
      <c r="K29">
        <f t="shared" si="1"/>
        <v>9.2193001133476553</v>
      </c>
      <c r="L29">
        <f t="shared" si="2"/>
        <v>12.415049656926806</v>
      </c>
    </row>
    <row r="30" spans="1:12" x14ac:dyDescent="0.2">
      <c r="A30" s="1" t="s">
        <v>46</v>
      </c>
      <c r="B30">
        <v>32.216584991993535</v>
      </c>
      <c r="C30">
        <v>21.035496504699058</v>
      </c>
      <c r="D30">
        <v>6785.7263885594239</v>
      </c>
      <c r="E30">
        <v>2243.6666666666665</v>
      </c>
      <c r="F30">
        <v>280161.33333333331</v>
      </c>
      <c r="G30">
        <v>0.38681481212376156</v>
      </c>
      <c r="H30">
        <v>9.4453917257471058</v>
      </c>
      <c r="J30">
        <f t="shared" si="0"/>
        <v>3.0462113205052588</v>
      </c>
      <c r="K30">
        <f t="shared" si="1"/>
        <v>7.7158667113426036</v>
      </c>
      <c r="L30">
        <f t="shared" si="2"/>
        <v>12.543120906693581</v>
      </c>
    </row>
    <row r="31" spans="1:12" x14ac:dyDescent="0.2">
      <c r="A31" s="1" t="s">
        <v>47</v>
      </c>
      <c r="B31">
        <v>28.495571280270521</v>
      </c>
      <c r="C31">
        <v>18.435905282774684</v>
      </c>
      <c r="D31">
        <v>4519.915006488598</v>
      </c>
      <c r="E31">
        <v>11040</v>
      </c>
      <c r="F31">
        <v>258369</v>
      </c>
      <c r="G31">
        <v>0.86787498730731194</v>
      </c>
      <c r="H31">
        <v>7.53094656538872</v>
      </c>
      <c r="J31">
        <f t="shared" si="0"/>
        <v>2.9143001372216473</v>
      </c>
      <c r="K31">
        <f t="shared" si="1"/>
        <v>9.3092803198310872</v>
      </c>
      <c r="L31">
        <f t="shared" si="2"/>
        <v>12.462144074653475</v>
      </c>
    </row>
    <row r="32" spans="1:12" x14ac:dyDescent="0.2">
      <c r="A32" s="1" t="s">
        <v>48</v>
      </c>
      <c r="B32">
        <v>60.090835900308029</v>
      </c>
      <c r="C32">
        <v>4.5811747409689154</v>
      </c>
      <c r="D32">
        <v>4625.6826737240481</v>
      </c>
      <c r="E32">
        <v>28125.333333333332</v>
      </c>
      <c r="F32">
        <v>401583</v>
      </c>
      <c r="G32">
        <v>0.55105682081321061</v>
      </c>
      <c r="H32">
        <v>12.652697059443115</v>
      </c>
      <c r="J32">
        <f t="shared" si="0"/>
        <v>1.5219554588985533</v>
      </c>
      <c r="K32">
        <f t="shared" si="1"/>
        <v>10.24442599128834</v>
      </c>
      <c r="L32">
        <f t="shared" si="2"/>
        <v>12.903169515786397</v>
      </c>
    </row>
    <row r="33" spans="1:12" x14ac:dyDescent="0.2">
      <c r="A33" s="1" t="s">
        <v>49</v>
      </c>
      <c r="B33">
        <v>35.323569239541023</v>
      </c>
      <c r="C33">
        <v>8.9391347730026389</v>
      </c>
      <c r="D33">
        <v>5163.1037205935627</v>
      </c>
      <c r="E33">
        <v>3237.6666666666665</v>
      </c>
      <c r="F33">
        <v>229224.66666666666</v>
      </c>
      <c r="G33">
        <v>0.80214517911455474</v>
      </c>
      <c r="H33">
        <v>7.468452702080346</v>
      </c>
      <c r="J33">
        <f t="shared" si="0"/>
        <v>2.1904388029584578</v>
      </c>
      <c r="K33">
        <f t="shared" si="1"/>
        <v>8.0826081847342213</v>
      </c>
      <c r="L33">
        <f t="shared" si="2"/>
        <v>12.342457878741744</v>
      </c>
    </row>
    <row r="34" spans="1:12" x14ac:dyDescent="0.2">
      <c r="A34" s="1" t="s">
        <v>50</v>
      </c>
      <c r="B34">
        <v>45.856698366937962</v>
      </c>
      <c r="C34">
        <v>10.252430256473358</v>
      </c>
      <c r="D34">
        <v>2701.6835989067317</v>
      </c>
      <c r="E34">
        <v>2655.3333333333335</v>
      </c>
      <c r="F34">
        <v>138255</v>
      </c>
      <c r="G34">
        <v>0.96847788262746271</v>
      </c>
      <c r="H34">
        <v>6.0321639749860969</v>
      </c>
      <c r="J34">
        <f t="shared" si="0"/>
        <v>2.3275147756736057</v>
      </c>
      <c r="K34">
        <f t="shared" si="1"/>
        <v>7.8843254750734797</v>
      </c>
      <c r="L34">
        <f t="shared" si="2"/>
        <v>11.836855085095875</v>
      </c>
    </row>
    <row r="35" spans="1:12" x14ac:dyDescent="0.2">
      <c r="A35" s="1" t="s">
        <v>51</v>
      </c>
      <c r="B35">
        <v>47.149864635442107</v>
      </c>
      <c r="C35">
        <v>7.3168050813013146</v>
      </c>
      <c r="D35">
        <v>2650.8402274123905</v>
      </c>
      <c r="E35">
        <v>5069</v>
      </c>
      <c r="F35">
        <v>159413</v>
      </c>
      <c r="G35">
        <v>0.64475328750404837</v>
      </c>
      <c r="H35">
        <v>7.3620440304703205</v>
      </c>
      <c r="J35">
        <f t="shared" si="0"/>
        <v>1.9901737683918523</v>
      </c>
      <c r="K35">
        <f t="shared" si="1"/>
        <v>8.5308988384723499</v>
      </c>
      <c r="L35">
        <f t="shared" si="2"/>
        <v>11.979253597847134</v>
      </c>
    </row>
    <row r="36" spans="1:12" x14ac:dyDescent="0.2">
      <c r="A36" t="s">
        <v>182</v>
      </c>
      <c r="B36">
        <f>SKEW(B2:B35)</f>
        <v>-0.2223243234090429</v>
      </c>
      <c r="C36">
        <f t="shared" ref="C36:H36" si="3">SKEW(C2:C35)</f>
        <v>1.5051385422939747</v>
      </c>
      <c r="D36">
        <f t="shared" si="3"/>
        <v>0.13229320724292193</v>
      </c>
      <c r="E36">
        <f t="shared" si="3"/>
        <v>5.1782580181397249</v>
      </c>
      <c r="F36">
        <f t="shared" si="3"/>
        <v>1.2893817872133411</v>
      </c>
      <c r="G36">
        <f t="shared" si="3"/>
        <v>0.95752604645777439</v>
      </c>
      <c r="H36">
        <f t="shared" si="3"/>
        <v>0.47221620946524834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85BC-A394-4B82-8A92-E50BA6CCD3CA}">
  <dimension ref="A1:H35"/>
  <sheetViews>
    <sheetView workbookViewId="0">
      <selection activeCell="J6" sqref="J6"/>
    </sheetView>
  </sheetViews>
  <sheetFormatPr defaultRowHeight="15" x14ac:dyDescent="0.2"/>
  <cols>
    <col min="8" max="8" width="9.28125" bestFit="1" customWidth="1"/>
  </cols>
  <sheetData>
    <row r="1" spans="1:8" x14ac:dyDescent="0.2">
      <c r="A1" s="21" t="s">
        <v>5</v>
      </c>
      <c r="B1" t="s">
        <v>176</v>
      </c>
      <c r="C1" t="s">
        <v>179</v>
      </c>
      <c r="D1" t="s">
        <v>178</v>
      </c>
      <c r="E1" t="s">
        <v>183</v>
      </c>
      <c r="F1" t="s">
        <v>181</v>
      </c>
      <c r="G1" t="s">
        <v>83</v>
      </c>
      <c r="H1" t="s">
        <v>86</v>
      </c>
    </row>
    <row r="2" spans="1:8" x14ac:dyDescent="0.2">
      <c r="A2" s="1" t="s">
        <v>17</v>
      </c>
      <c r="B2">
        <v>36.481769249825462</v>
      </c>
      <c r="C2">
        <v>2.4979341822219561</v>
      </c>
      <c r="D2">
        <v>5066.6500624030523</v>
      </c>
      <c r="E2">
        <v>9.6598436305594415</v>
      </c>
      <c r="F2">
        <v>12.36203596724334</v>
      </c>
      <c r="G2">
        <v>0.76228191938345224</v>
      </c>
      <c r="H2">
        <v>6.7487238492025297</v>
      </c>
    </row>
    <row r="3" spans="1:8" x14ac:dyDescent="0.2">
      <c r="A3" s="1" t="s">
        <v>18</v>
      </c>
      <c r="B3">
        <v>27.787878723717668</v>
      </c>
      <c r="C3">
        <v>2.4488692413169364</v>
      </c>
      <c r="D3">
        <v>3082.5145612403417</v>
      </c>
      <c r="E3">
        <v>8.4203151164397507</v>
      </c>
      <c r="F3">
        <v>12.204027221743138</v>
      </c>
      <c r="G3">
        <v>0.69571677847203806</v>
      </c>
      <c r="H3">
        <v>6.6829929458152364</v>
      </c>
    </row>
    <row r="4" spans="1:8" x14ac:dyDescent="0.2">
      <c r="A4" s="1" t="s">
        <v>19</v>
      </c>
      <c r="B4">
        <v>44.112678064917048</v>
      </c>
      <c r="C4">
        <v>2.0764357203214128</v>
      </c>
      <c r="D4">
        <v>3644.1575222674601</v>
      </c>
      <c r="E4">
        <v>8.7056072622093499</v>
      </c>
      <c r="F4">
        <v>12.149399996040557</v>
      </c>
      <c r="G4">
        <v>0.69379048240657781</v>
      </c>
      <c r="H4">
        <v>6.5898222569430551</v>
      </c>
    </row>
    <row r="5" spans="1:8" x14ac:dyDescent="0.2">
      <c r="A5" s="1" t="s">
        <v>20</v>
      </c>
      <c r="B5">
        <v>52.124660148890065</v>
      </c>
      <c r="C5">
        <v>1.1870948448866587</v>
      </c>
      <c r="D5">
        <v>5338.4692842823288</v>
      </c>
      <c r="E5">
        <v>8.665843055172461</v>
      </c>
      <c r="F5">
        <v>12.095880104045895</v>
      </c>
      <c r="G5">
        <v>0.73082784667068357</v>
      </c>
      <c r="H5">
        <v>8.1433714313894487</v>
      </c>
    </row>
    <row r="6" spans="1:8" x14ac:dyDescent="0.2">
      <c r="A6" s="1" t="s">
        <v>21</v>
      </c>
      <c r="B6">
        <v>54.034520463744116</v>
      </c>
      <c r="C6">
        <v>2.4862810878713377</v>
      </c>
      <c r="D6">
        <v>6280.32660655372</v>
      </c>
      <c r="E6">
        <v>7.6314316645769056</v>
      </c>
      <c r="F6">
        <v>12.178178873023633</v>
      </c>
      <c r="G6">
        <v>0.39196030933609</v>
      </c>
      <c r="H6">
        <v>5.0104420365731608</v>
      </c>
    </row>
    <row r="7" spans="1:8" x14ac:dyDescent="0.2">
      <c r="A7" s="1" t="s">
        <v>22</v>
      </c>
      <c r="B7">
        <v>41.204624655900979</v>
      </c>
      <c r="C7">
        <v>2.1932363001658923</v>
      </c>
      <c r="D7">
        <v>2823.5334982914042</v>
      </c>
      <c r="E7">
        <v>8.5538465090642735</v>
      </c>
      <c r="F7">
        <v>11.880582550496626</v>
      </c>
      <c r="G7">
        <v>0.76235010198430031</v>
      </c>
      <c r="H7">
        <v>4.7775812872238639</v>
      </c>
    </row>
    <row r="8" spans="1:8" x14ac:dyDescent="0.2">
      <c r="A8" s="1" t="s">
        <v>23</v>
      </c>
      <c r="B8">
        <v>33.755610182940138</v>
      </c>
      <c r="C8">
        <v>2.4551543259865904</v>
      </c>
      <c r="D8">
        <v>5430.5324349509683</v>
      </c>
      <c r="E8">
        <v>8.2735067388706991</v>
      </c>
      <c r="F8">
        <v>12.337242710747581</v>
      </c>
      <c r="G8">
        <v>0.42063689577476909</v>
      </c>
      <c r="H8">
        <v>5.5372909277560796</v>
      </c>
    </row>
    <row r="9" spans="1:8" x14ac:dyDescent="0.2">
      <c r="A9" s="1" t="s">
        <v>24</v>
      </c>
      <c r="B9">
        <v>34.158944143147544</v>
      </c>
      <c r="C9">
        <v>1.2407394691607976</v>
      </c>
      <c r="D9">
        <v>4137.407971525442</v>
      </c>
      <c r="E9">
        <v>9.3727142909604417</v>
      </c>
      <c r="F9">
        <v>12.403574233763404</v>
      </c>
      <c r="G9">
        <v>0.83817361092415377</v>
      </c>
      <c r="H9">
        <v>9.334297979930323</v>
      </c>
    </row>
    <row r="10" spans="1:8" x14ac:dyDescent="0.2">
      <c r="A10" s="1" t="s">
        <v>25</v>
      </c>
      <c r="B10">
        <v>46.751936752198702</v>
      </c>
      <c r="C10">
        <v>2.0058940593886594</v>
      </c>
      <c r="D10">
        <v>5767.2763654620194</v>
      </c>
      <c r="E10">
        <v>8.1421602904282757</v>
      </c>
      <c r="F10">
        <v>12.167226129023261</v>
      </c>
      <c r="G10">
        <v>0.69684208116392432</v>
      </c>
      <c r="H10">
        <v>9.4918026381911247</v>
      </c>
    </row>
    <row r="11" spans="1:8" x14ac:dyDescent="0.2">
      <c r="A11" s="1" t="s">
        <v>26</v>
      </c>
      <c r="B11">
        <v>49.435534734953144</v>
      </c>
      <c r="C11">
        <v>2.1153779264193955</v>
      </c>
      <c r="D11">
        <v>3144.919827551139</v>
      </c>
      <c r="E11">
        <v>8.2302219773558623</v>
      </c>
      <c r="F11">
        <v>12.191471566694659</v>
      </c>
      <c r="G11">
        <v>0.72663774813093385</v>
      </c>
      <c r="H11">
        <v>9.6526710504373998</v>
      </c>
    </row>
    <row r="12" spans="1:8" x14ac:dyDescent="0.2">
      <c r="A12" s="1" t="s">
        <v>27</v>
      </c>
      <c r="B12">
        <v>57.094918716695986</v>
      </c>
      <c r="C12">
        <v>1.8598420786173453</v>
      </c>
      <c r="D12">
        <v>6086.2127984484578</v>
      </c>
      <c r="E12">
        <v>7.0364416199434601</v>
      </c>
      <c r="F12">
        <v>11.847720104736203</v>
      </c>
      <c r="G12">
        <v>0.33278767873430243</v>
      </c>
      <c r="H12">
        <v>4.5209968974407531</v>
      </c>
    </row>
    <row r="13" spans="1:8" x14ac:dyDescent="0.2">
      <c r="A13" s="1" t="s">
        <v>28</v>
      </c>
      <c r="B13">
        <v>59.3590433442563</v>
      </c>
      <c r="C13">
        <v>1.6103516927282819</v>
      </c>
      <c r="D13">
        <v>5469.8762707473124</v>
      </c>
      <c r="E13">
        <v>7.7310531440071273</v>
      </c>
      <c r="F13">
        <v>12.131760293517953</v>
      </c>
      <c r="G13">
        <v>0.45003487866206826</v>
      </c>
      <c r="H13">
        <v>6.0906056270863136</v>
      </c>
    </row>
    <row r="14" spans="1:8" x14ac:dyDescent="0.2">
      <c r="A14" s="1" t="s">
        <v>29</v>
      </c>
      <c r="B14">
        <v>36.663981291451172</v>
      </c>
      <c r="C14">
        <v>1.1403836836817389</v>
      </c>
      <c r="D14">
        <v>3109.7143985346793</v>
      </c>
      <c r="E14">
        <v>7.8662111030169708</v>
      </c>
      <c r="F14">
        <v>11.924282072949556</v>
      </c>
      <c r="G14">
        <v>0.95018461609256344</v>
      </c>
      <c r="H14">
        <v>9.1880189411134214</v>
      </c>
    </row>
    <row r="15" spans="1:8" x14ac:dyDescent="0.2">
      <c r="A15" s="1" t="s">
        <v>30</v>
      </c>
      <c r="B15">
        <v>36.948796858563149</v>
      </c>
      <c r="C15">
        <v>2.7405077342290469</v>
      </c>
      <c r="D15">
        <v>3630.3495869863209</v>
      </c>
      <c r="E15">
        <v>9.2385390263348608</v>
      </c>
      <c r="F15">
        <v>12.150270957979574</v>
      </c>
      <c r="G15">
        <v>0.67582507467260522</v>
      </c>
      <c r="H15">
        <v>7.2718780827598364</v>
      </c>
    </row>
    <row r="16" spans="1:8" x14ac:dyDescent="0.2">
      <c r="A16" s="1" t="s">
        <v>31</v>
      </c>
      <c r="B16">
        <v>48.871822753839886</v>
      </c>
      <c r="C16">
        <v>0.64889291839611696</v>
      </c>
      <c r="D16">
        <v>3423.5924532925164</v>
      </c>
      <c r="E16">
        <v>8.2532276455817719</v>
      </c>
      <c r="F16">
        <v>12.11015261313689</v>
      </c>
      <c r="G16">
        <v>1.2020457781572604</v>
      </c>
      <c r="H16">
        <v>7.5612728251321686</v>
      </c>
    </row>
    <row r="17" spans="1:8" x14ac:dyDescent="0.2">
      <c r="A17" s="1" t="s">
        <v>32</v>
      </c>
      <c r="B17">
        <v>23.006109522836589</v>
      </c>
      <c r="C17">
        <v>3.1185653851567547</v>
      </c>
      <c r="D17">
        <v>3958.5364005149981</v>
      </c>
      <c r="E17">
        <v>9.5312154117837284</v>
      </c>
      <c r="F17">
        <v>12.577485615912503</v>
      </c>
      <c r="G17">
        <v>1.5065480033981506</v>
      </c>
      <c r="H17">
        <v>8.1144005240133161</v>
      </c>
    </row>
    <row r="18" spans="1:8" x14ac:dyDescent="0.2">
      <c r="A18" s="1" t="s">
        <v>33</v>
      </c>
      <c r="B18">
        <v>30.761531319366505</v>
      </c>
      <c r="C18">
        <v>2.4175068561758173</v>
      </c>
      <c r="D18">
        <v>3894.0432176228132</v>
      </c>
      <c r="E18">
        <v>8.9219469354538568</v>
      </c>
      <c r="F18">
        <v>12.198480565150561</v>
      </c>
      <c r="G18">
        <v>0.92672270100480614</v>
      </c>
      <c r="H18">
        <v>9.5566597318442312</v>
      </c>
    </row>
    <row r="19" spans="1:8" x14ac:dyDescent="0.2">
      <c r="A19" s="1" t="s">
        <v>34</v>
      </c>
      <c r="B19">
        <v>1.0414843149209374</v>
      </c>
      <c r="C19">
        <v>3.8138965714096975</v>
      </c>
      <c r="D19">
        <v>5619.5715475001316</v>
      </c>
      <c r="E19">
        <v>12.299165216742027</v>
      </c>
      <c r="F19">
        <v>13.058017548811467</v>
      </c>
      <c r="G19">
        <v>0.96557022365912071</v>
      </c>
      <c r="H19">
        <v>13.219572800224894</v>
      </c>
    </row>
    <row r="20" spans="1:8" x14ac:dyDescent="0.2">
      <c r="A20" s="1" t="s">
        <v>35</v>
      </c>
      <c r="B20">
        <v>23.132009543705358</v>
      </c>
      <c r="C20">
        <v>2.6459241356261183</v>
      </c>
      <c r="D20">
        <v>5488.011900124754</v>
      </c>
      <c r="E20">
        <v>9.7987009462348915</v>
      </c>
      <c r="F20">
        <v>12.71330582418544</v>
      </c>
      <c r="G20">
        <v>0.55834398485225745</v>
      </c>
      <c r="H20">
        <v>7.4033022500022447</v>
      </c>
    </row>
    <row r="21" spans="1:8" x14ac:dyDescent="0.2">
      <c r="A21" s="1" t="s">
        <v>36</v>
      </c>
      <c r="B21">
        <v>31.263026512039211</v>
      </c>
      <c r="C21">
        <v>1.5295662666335785</v>
      </c>
      <c r="D21">
        <v>3314.0451117205994</v>
      </c>
      <c r="E21">
        <v>8.7107843404684235</v>
      </c>
      <c r="F21">
        <v>12.095651196779324</v>
      </c>
      <c r="G21">
        <v>0.87205880996179752</v>
      </c>
      <c r="H21">
        <v>9.2479460712028647</v>
      </c>
    </row>
    <row r="22" spans="1:8" x14ac:dyDescent="0.2">
      <c r="A22" s="1" t="s">
        <v>37</v>
      </c>
      <c r="B22">
        <v>66.14788995470866</v>
      </c>
      <c r="C22">
        <v>1.7201959493513601</v>
      </c>
      <c r="D22">
        <v>2769.6407377889204</v>
      </c>
      <c r="E22">
        <v>7.5952196764065842</v>
      </c>
      <c r="F22">
        <v>11.799709634427741</v>
      </c>
      <c r="G22">
        <v>0.64166387438248051</v>
      </c>
      <c r="H22">
        <v>7.6078170379043648</v>
      </c>
    </row>
    <row r="23" spans="1:8" x14ac:dyDescent="0.2">
      <c r="A23" s="1" t="s">
        <v>38</v>
      </c>
      <c r="B23">
        <v>38.185588485794952</v>
      </c>
      <c r="C23">
        <v>2.7234804274056734</v>
      </c>
      <c r="D23">
        <v>5218.9886370375134</v>
      </c>
      <c r="E23">
        <v>9.9152184754118267</v>
      </c>
      <c r="F23">
        <v>12.476541161148425</v>
      </c>
      <c r="G23">
        <v>0.72912140824854144</v>
      </c>
      <c r="H23">
        <v>7.0693756338124549</v>
      </c>
    </row>
    <row r="24" spans="1:8" x14ac:dyDescent="0.2">
      <c r="A24" s="1" t="s">
        <v>40</v>
      </c>
      <c r="B24">
        <v>35.628132546011649</v>
      </c>
      <c r="C24">
        <v>0.77388737053798418</v>
      </c>
      <c r="D24">
        <v>3277.6190947500177</v>
      </c>
      <c r="E24">
        <v>8.5003182741913932</v>
      </c>
      <c r="F24">
        <v>12.091387307051939</v>
      </c>
      <c r="G24">
        <v>0.98495007084223041</v>
      </c>
      <c r="H24">
        <v>9.1082187764567912</v>
      </c>
    </row>
    <row r="25" spans="1:8" x14ac:dyDescent="0.2">
      <c r="A25" s="1" t="s">
        <v>41</v>
      </c>
      <c r="B25">
        <v>6.9369942532727986</v>
      </c>
      <c r="C25">
        <v>3.1814883310470354</v>
      </c>
      <c r="D25">
        <v>6474.2505200473133</v>
      </c>
      <c r="E25">
        <v>10.98694672150932</v>
      </c>
      <c r="F25">
        <v>12.858875148191714</v>
      </c>
      <c r="G25">
        <v>0.73622964164920079</v>
      </c>
      <c r="H25">
        <v>10.146555700776505</v>
      </c>
    </row>
    <row r="26" spans="1:8" x14ac:dyDescent="0.2">
      <c r="A26" s="1" t="s">
        <v>42</v>
      </c>
      <c r="B26">
        <v>24.882160258440031</v>
      </c>
      <c r="C26">
        <v>3.4423504003172729</v>
      </c>
      <c r="D26">
        <v>5796.4249817781138</v>
      </c>
      <c r="E26">
        <v>8.7575739907500054</v>
      </c>
      <c r="F26">
        <v>12.687737187953177</v>
      </c>
      <c r="G26">
        <v>0.59737995821780421</v>
      </c>
      <c r="H26">
        <v>10.391591744902897</v>
      </c>
    </row>
    <row r="27" spans="1:8" x14ac:dyDescent="0.2">
      <c r="A27" s="1" t="s">
        <v>43</v>
      </c>
      <c r="B27">
        <v>23.885832763218513</v>
      </c>
      <c r="C27">
        <v>3.1278747925298269</v>
      </c>
      <c r="D27">
        <v>6217.5552311665988</v>
      </c>
      <c r="E27">
        <v>8.2413518511015784</v>
      </c>
      <c r="F27">
        <v>12.427279656292876</v>
      </c>
      <c r="G27">
        <v>0.54248569325466256</v>
      </c>
      <c r="H27">
        <v>8.578416706558162</v>
      </c>
    </row>
    <row r="28" spans="1:8" x14ac:dyDescent="0.2">
      <c r="A28" s="1" t="s">
        <v>44</v>
      </c>
      <c r="B28">
        <v>14.966763804958452</v>
      </c>
      <c r="C28">
        <v>3.2172070621532378</v>
      </c>
      <c r="D28">
        <v>3557.1866609472058</v>
      </c>
      <c r="E28">
        <v>9.0595562411803847</v>
      </c>
      <c r="F28">
        <v>12.504340985198585</v>
      </c>
      <c r="G28">
        <v>0.72983559293746858</v>
      </c>
      <c r="H28">
        <v>9.8890628119882091</v>
      </c>
    </row>
    <row r="29" spans="1:8" x14ac:dyDescent="0.2">
      <c r="A29" s="1" t="s">
        <v>45</v>
      </c>
      <c r="B29">
        <v>24.365984986297963</v>
      </c>
      <c r="C29">
        <v>2.9456077693320175</v>
      </c>
      <c r="D29">
        <v>4191.3813328375481</v>
      </c>
      <c r="E29">
        <v>9.2193001133476553</v>
      </c>
      <c r="F29">
        <v>12.415049656926806</v>
      </c>
      <c r="G29">
        <v>0.67841125298818117</v>
      </c>
      <c r="H29">
        <v>7.8123475618303235</v>
      </c>
    </row>
    <row r="30" spans="1:8" x14ac:dyDescent="0.2">
      <c r="A30" s="1" t="s">
        <v>46</v>
      </c>
      <c r="B30">
        <v>32.216584991993535</v>
      </c>
      <c r="C30">
        <v>3.0462113205052588</v>
      </c>
      <c r="D30">
        <v>6785.7263885594239</v>
      </c>
      <c r="E30">
        <v>7.7158667113426036</v>
      </c>
      <c r="F30">
        <v>12.543120906693581</v>
      </c>
      <c r="G30">
        <v>0.38681481212376156</v>
      </c>
      <c r="H30">
        <v>9.4453917257471058</v>
      </c>
    </row>
    <row r="31" spans="1:8" x14ac:dyDescent="0.2">
      <c r="A31" s="1" t="s">
        <v>47</v>
      </c>
      <c r="B31">
        <v>28.495571280270521</v>
      </c>
      <c r="C31">
        <v>2.9143001372216473</v>
      </c>
      <c r="D31">
        <v>4519.915006488598</v>
      </c>
      <c r="E31">
        <v>9.3092803198310872</v>
      </c>
      <c r="F31">
        <v>12.462144074653475</v>
      </c>
      <c r="G31">
        <v>0.86787498730731194</v>
      </c>
      <c r="H31">
        <v>7.53094656538872</v>
      </c>
    </row>
    <row r="32" spans="1:8" x14ac:dyDescent="0.2">
      <c r="A32" s="1" t="s">
        <v>48</v>
      </c>
      <c r="B32">
        <v>60.090835900308029</v>
      </c>
      <c r="C32">
        <v>1.5219554588985533</v>
      </c>
      <c r="D32">
        <v>4625.6826737240481</v>
      </c>
      <c r="E32">
        <v>10.24442599128834</v>
      </c>
      <c r="F32">
        <v>12.903169515786397</v>
      </c>
      <c r="G32">
        <v>0.55105682081321061</v>
      </c>
      <c r="H32">
        <v>12.652697059443115</v>
      </c>
    </row>
    <row r="33" spans="1:8" x14ac:dyDescent="0.2">
      <c r="A33" s="1" t="s">
        <v>49</v>
      </c>
      <c r="B33">
        <v>35.323569239541023</v>
      </c>
      <c r="C33">
        <v>2.1904388029584578</v>
      </c>
      <c r="D33">
        <v>5163.1037205935627</v>
      </c>
      <c r="E33">
        <v>8.0826081847342213</v>
      </c>
      <c r="F33">
        <v>12.342457878741744</v>
      </c>
      <c r="G33">
        <v>0.80214517911455474</v>
      </c>
      <c r="H33">
        <v>7.468452702080346</v>
      </c>
    </row>
    <row r="34" spans="1:8" x14ac:dyDescent="0.2">
      <c r="A34" s="1" t="s">
        <v>50</v>
      </c>
      <c r="B34">
        <v>45.856698366937962</v>
      </c>
      <c r="C34">
        <v>2.3275147756736057</v>
      </c>
      <c r="D34">
        <v>2701.6835989067317</v>
      </c>
      <c r="E34">
        <v>7.8843254750734797</v>
      </c>
      <c r="F34">
        <v>11.836855085095875</v>
      </c>
      <c r="G34">
        <v>0.96847788262746271</v>
      </c>
      <c r="H34">
        <v>6.0321639749860969</v>
      </c>
    </row>
    <row r="35" spans="1:8" x14ac:dyDescent="0.2">
      <c r="A35" s="1" t="s">
        <v>51</v>
      </c>
      <c r="B35">
        <v>47.149864635442107</v>
      </c>
      <c r="C35">
        <v>1.9901737683918523</v>
      </c>
      <c r="D35">
        <v>2650.8402274123905</v>
      </c>
      <c r="E35">
        <v>8.5308988384723499</v>
      </c>
      <c r="F35">
        <v>11.979253597847134</v>
      </c>
      <c r="G35">
        <v>0.64475328750404837</v>
      </c>
      <c r="H35">
        <v>7.3620440304703205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965C-021B-824F-BDAF-E3DD97399EE3}">
  <dimension ref="A1:C35"/>
  <sheetViews>
    <sheetView tabSelected="1" zoomScaleNormal="60" zoomScaleSheetLayoutView="100" workbookViewId="0">
      <selection activeCell="A27" sqref="A27"/>
    </sheetView>
  </sheetViews>
  <sheetFormatPr defaultRowHeight="15" x14ac:dyDescent="0.2"/>
  <cols>
    <col min="1" max="1" width="23.9453125" customWidth="1"/>
    <col min="2" max="2" width="16.41015625" customWidth="1"/>
  </cols>
  <sheetData>
    <row r="1" spans="1:3" x14ac:dyDescent="0.2">
      <c r="A1" t="s">
        <v>5</v>
      </c>
      <c r="B1" t="s">
        <v>184</v>
      </c>
      <c r="C1" t="s">
        <v>185</v>
      </c>
    </row>
    <row r="2" spans="1:3" x14ac:dyDescent="0.2">
      <c r="A2" t="s">
        <v>34</v>
      </c>
      <c r="B2">
        <v>5.801243457</v>
      </c>
      <c r="C2">
        <v>1</v>
      </c>
    </row>
    <row r="3" spans="1:3" x14ac:dyDescent="0.2">
      <c r="A3" t="s">
        <v>41</v>
      </c>
      <c r="B3">
        <v>3.9430489299999998</v>
      </c>
      <c r="C3">
        <v>2</v>
      </c>
    </row>
    <row r="4" spans="1:3" x14ac:dyDescent="0.2">
      <c r="A4" t="s">
        <v>42</v>
      </c>
      <c r="B4">
        <v>2.1544775490000001</v>
      </c>
      <c r="C4">
        <v>3</v>
      </c>
    </row>
    <row r="5" spans="1:3" x14ac:dyDescent="0.2">
      <c r="A5" t="s">
        <v>32</v>
      </c>
      <c r="B5">
        <v>1.7848137850000001</v>
      </c>
      <c r="C5">
        <v>4</v>
      </c>
    </row>
    <row r="6" spans="1:3" x14ac:dyDescent="0.2">
      <c r="A6" t="s">
        <v>44</v>
      </c>
      <c r="B6">
        <v>1.7232083899999999</v>
      </c>
      <c r="C6">
        <v>5</v>
      </c>
    </row>
    <row r="7" spans="1:3" x14ac:dyDescent="0.2">
      <c r="A7" t="s">
        <v>35</v>
      </c>
      <c r="B7">
        <v>1.6998349720000001</v>
      </c>
      <c r="C7">
        <v>6</v>
      </c>
    </row>
    <row r="8" spans="1:3" x14ac:dyDescent="0.2">
      <c r="A8" t="s">
        <v>48</v>
      </c>
      <c r="B8">
        <v>1.301985342</v>
      </c>
      <c r="C8">
        <v>7</v>
      </c>
    </row>
    <row r="9" spans="1:3" x14ac:dyDescent="0.2">
      <c r="A9" t="s">
        <v>43</v>
      </c>
      <c r="B9">
        <v>1.1186048369999999</v>
      </c>
      <c r="C9">
        <v>8</v>
      </c>
    </row>
    <row r="10" spans="1:3" x14ac:dyDescent="0.2">
      <c r="A10" t="s">
        <v>47</v>
      </c>
      <c r="B10">
        <v>1.00886198</v>
      </c>
      <c r="C10">
        <v>9</v>
      </c>
    </row>
    <row r="11" spans="1:3" x14ac:dyDescent="0.2">
      <c r="A11" t="s">
        <v>46</v>
      </c>
      <c r="B11">
        <v>0.98824060899999999</v>
      </c>
      <c r="C11">
        <v>10</v>
      </c>
    </row>
    <row r="12" spans="1:3" x14ac:dyDescent="0.2">
      <c r="A12" t="s">
        <v>45</v>
      </c>
      <c r="B12">
        <v>0.95726840199999996</v>
      </c>
      <c r="C12">
        <v>11</v>
      </c>
    </row>
    <row r="13" spans="1:3" x14ac:dyDescent="0.2">
      <c r="A13" t="s">
        <v>38</v>
      </c>
      <c r="B13">
        <v>0.90561653499999994</v>
      </c>
      <c r="C13">
        <v>12</v>
      </c>
    </row>
    <row r="14" spans="1:3" x14ac:dyDescent="0.2">
      <c r="A14" t="s">
        <v>17</v>
      </c>
      <c r="B14">
        <v>0.47599371299999998</v>
      </c>
      <c r="C14">
        <v>13</v>
      </c>
    </row>
    <row r="15" spans="1:3" x14ac:dyDescent="0.2">
      <c r="A15" t="s">
        <v>33</v>
      </c>
      <c r="B15">
        <v>0.36961487199999998</v>
      </c>
      <c r="C15">
        <v>14</v>
      </c>
    </row>
    <row r="16" spans="1:3" x14ac:dyDescent="0.2">
      <c r="A16" t="s">
        <v>24</v>
      </c>
      <c r="B16">
        <v>0.18067680999999999</v>
      </c>
      <c r="C16">
        <v>15</v>
      </c>
    </row>
    <row r="17" spans="1:3" x14ac:dyDescent="0.2">
      <c r="A17" t="s">
        <v>30</v>
      </c>
      <c r="B17">
        <v>-0.14243820800000001</v>
      </c>
      <c r="C17">
        <v>16</v>
      </c>
    </row>
    <row r="18" spans="1:3" x14ac:dyDescent="0.2">
      <c r="A18" t="s">
        <v>49</v>
      </c>
      <c r="B18">
        <v>-0.200113759</v>
      </c>
      <c r="C18">
        <v>17</v>
      </c>
    </row>
    <row r="19" spans="1:3" x14ac:dyDescent="0.2">
      <c r="A19" t="s">
        <v>23</v>
      </c>
      <c r="B19">
        <v>-0.377640274</v>
      </c>
      <c r="C19">
        <v>18</v>
      </c>
    </row>
    <row r="20" spans="1:3" x14ac:dyDescent="0.2">
      <c r="A20" t="s">
        <v>25</v>
      </c>
      <c r="B20">
        <v>-0.45567806900000002</v>
      </c>
      <c r="C20">
        <v>19</v>
      </c>
    </row>
    <row r="21" spans="1:3" x14ac:dyDescent="0.2">
      <c r="A21" t="s">
        <v>18</v>
      </c>
      <c r="B21">
        <v>-0.48073628800000001</v>
      </c>
      <c r="C21">
        <v>20</v>
      </c>
    </row>
    <row r="22" spans="1:3" x14ac:dyDescent="0.2">
      <c r="A22" t="s">
        <v>36</v>
      </c>
      <c r="B22">
        <v>-0.52598919099999997</v>
      </c>
      <c r="C22">
        <v>21</v>
      </c>
    </row>
    <row r="23" spans="1:3" x14ac:dyDescent="0.2">
      <c r="A23" t="s">
        <v>26</v>
      </c>
      <c r="B23">
        <v>-0.84908128900000002</v>
      </c>
      <c r="C23">
        <v>22</v>
      </c>
    </row>
    <row r="24" spans="1:3" x14ac:dyDescent="0.2">
      <c r="A24" t="s">
        <v>19</v>
      </c>
      <c r="B24">
        <v>-1.036239709</v>
      </c>
      <c r="C24">
        <v>23</v>
      </c>
    </row>
    <row r="25" spans="1:3" x14ac:dyDescent="0.2">
      <c r="A25" t="s">
        <v>40</v>
      </c>
      <c r="B25">
        <v>-1.1243121659999999</v>
      </c>
      <c r="C25">
        <v>24</v>
      </c>
    </row>
    <row r="26" spans="1:3" x14ac:dyDescent="0.2">
      <c r="A26" t="s">
        <v>20</v>
      </c>
      <c r="B26">
        <v>-1.220241436</v>
      </c>
      <c r="C26">
        <v>25</v>
      </c>
    </row>
    <row r="27" spans="1:3" x14ac:dyDescent="0.2">
      <c r="A27" t="s">
        <v>21</v>
      </c>
      <c r="B27">
        <v>-1.4575164030000001</v>
      </c>
      <c r="C27">
        <v>26</v>
      </c>
    </row>
    <row r="28" spans="1:3" x14ac:dyDescent="0.2">
      <c r="A28" t="s">
        <v>29</v>
      </c>
      <c r="B28">
        <v>-1.5466557839999999</v>
      </c>
      <c r="C28">
        <v>27</v>
      </c>
    </row>
    <row r="29" spans="1:3" x14ac:dyDescent="0.2">
      <c r="A29" t="s">
        <v>51</v>
      </c>
      <c r="B29">
        <v>-1.5821709079999999</v>
      </c>
      <c r="C29">
        <v>28</v>
      </c>
    </row>
    <row r="30" spans="1:3" x14ac:dyDescent="0.2">
      <c r="A30" t="s">
        <v>31</v>
      </c>
      <c r="B30">
        <v>-1.837569617</v>
      </c>
      <c r="C30">
        <v>29</v>
      </c>
    </row>
    <row r="31" spans="1:3" x14ac:dyDescent="0.2">
      <c r="A31" t="s">
        <v>22</v>
      </c>
      <c r="B31">
        <v>-1.8394540800000001</v>
      </c>
      <c r="C31">
        <v>30</v>
      </c>
    </row>
    <row r="32" spans="1:3" x14ac:dyDescent="0.2">
      <c r="A32" t="s">
        <v>50</v>
      </c>
      <c r="B32">
        <v>-1.9999891249999999</v>
      </c>
      <c r="C32">
        <v>31</v>
      </c>
    </row>
    <row r="33" spans="1:3" x14ac:dyDescent="0.2">
      <c r="A33" t="s">
        <v>28</v>
      </c>
      <c r="B33">
        <v>-2.020687562</v>
      </c>
      <c r="C33">
        <v>32</v>
      </c>
    </row>
    <row r="34" spans="1:3" x14ac:dyDescent="0.2">
      <c r="A34" t="s">
        <v>27</v>
      </c>
      <c r="B34">
        <v>-2.7956178309999999</v>
      </c>
      <c r="C34">
        <v>33</v>
      </c>
    </row>
    <row r="35" spans="1:3" x14ac:dyDescent="0.2">
      <c r="A35" t="s">
        <v>37</v>
      </c>
      <c r="B35">
        <v>-2.9213584840000002</v>
      </c>
      <c r="C3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calculation</vt:lpstr>
      <vt:lpstr>variable transformation</vt:lpstr>
      <vt:lpstr>Final data</vt:lpstr>
      <vt:lpstr>ranking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library</dc:creator>
  <cp:keywords/>
  <dc:description/>
  <cp:lastModifiedBy>Pratiksha Powar</cp:lastModifiedBy>
  <cp:revision/>
  <dcterms:created xsi:type="dcterms:W3CDTF">2026-09-29T06:04:46Z</dcterms:created>
  <dcterms:modified xsi:type="dcterms:W3CDTF">2026-09-29T14:27:28Z</dcterms:modified>
  <cp:category/>
  <cp:contentStatus/>
</cp:coreProperties>
</file>